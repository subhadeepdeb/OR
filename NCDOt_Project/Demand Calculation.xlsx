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3FM2ICcu7wv2SC6GVd1z6LAmO7QBQFFYEBY38RaqNk="/>
    </ext>
  </extLst>
</workbook>
</file>

<file path=xl/sharedStrings.xml><?xml version="1.0" encoding="utf-8"?>
<sst xmlns="http://schemas.openxmlformats.org/spreadsheetml/2006/main" count="83" uniqueCount="68">
  <si>
    <t>latitude</t>
  </si>
  <si>
    <t>longitude</t>
  </si>
  <si>
    <t>GEOID</t>
  </si>
  <si>
    <t>TDI Score</t>
  </si>
  <si>
    <t>Area</t>
  </si>
  <si>
    <t>Calculated Demand</t>
  </si>
  <si>
    <t>Average Demand</t>
  </si>
  <si>
    <t>371830501001</t>
  </si>
  <si>
    <t>Alpha (for Area)</t>
  </si>
  <si>
    <t>371830512002</t>
  </si>
  <si>
    <t>Beta (for TDI score)</t>
  </si>
  <si>
    <t>371830501002</t>
  </si>
  <si>
    <t>371830503001</t>
  </si>
  <si>
    <t>371830505001</t>
  </si>
  <si>
    <t>371830505002</t>
  </si>
  <si>
    <t>371830505003</t>
  </si>
  <si>
    <t>371830506001</t>
  </si>
  <si>
    <t>371830506002</t>
  </si>
  <si>
    <t>371830507001</t>
  </si>
  <si>
    <t>371830507003</t>
  </si>
  <si>
    <t>371830508003</t>
  </si>
  <si>
    <t>371830545021</t>
  </si>
  <si>
    <t>371830509002</t>
  </si>
  <si>
    <t>371830509001</t>
  </si>
  <si>
    <t>371830528113</t>
  </si>
  <si>
    <t>371830515011</t>
  </si>
  <si>
    <t>371830515012</t>
  </si>
  <si>
    <t>371830515021</t>
  </si>
  <si>
    <t>371830516001</t>
  </si>
  <si>
    <t>371830516002</t>
  </si>
  <si>
    <t>371830516003</t>
  </si>
  <si>
    <t>371830516004</t>
  </si>
  <si>
    <t>371830516005</t>
  </si>
  <si>
    <t>371830517003</t>
  </si>
  <si>
    <t>371830518001</t>
  </si>
  <si>
    <t>371830517001</t>
  </si>
  <si>
    <t>371830518003</t>
  </si>
  <si>
    <t>371830519001</t>
  </si>
  <si>
    <t>371830519003</t>
  </si>
  <si>
    <t>371830527062</t>
  </si>
  <si>
    <t>371830520011</t>
  </si>
  <si>
    <t>371830520012</t>
  </si>
  <si>
    <t>371830528151</t>
  </si>
  <si>
    <t>371830521022</t>
  </si>
  <si>
    <t>371830528142</t>
  </si>
  <si>
    <t>371830523052</t>
  </si>
  <si>
    <t>371830526031</t>
  </si>
  <si>
    <t>371830527011</t>
  </si>
  <si>
    <t>371830526032</t>
  </si>
  <si>
    <t>371830540181</t>
  </si>
  <si>
    <t>371830515022</t>
  </si>
  <si>
    <t>371830527052</t>
  </si>
  <si>
    <t>371830527041</t>
  </si>
  <si>
    <t>371830527013</t>
  </si>
  <si>
    <t>371830527061</t>
  </si>
  <si>
    <t>371830528152</t>
  </si>
  <si>
    <t>371830528072</t>
  </si>
  <si>
    <t>371830528161</t>
  </si>
  <si>
    <t>371830541062</t>
  </si>
  <si>
    <t>371830541064</t>
  </si>
  <si>
    <t>371830545011</t>
  </si>
  <si>
    <t>371830545012</t>
  </si>
  <si>
    <t>371830524012</t>
  </si>
  <si>
    <t>371830545014</t>
  </si>
  <si>
    <t>371830521011</t>
  </si>
  <si>
    <t>371830545022</t>
  </si>
  <si>
    <t>371830545023</t>
  </si>
  <si>
    <t>371830545024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</si>
</sst>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readingOrder="0"/>
    </xf>
    <xf borderId="1" fillId="3" fontId="2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0" fillId="0" fontId="4" numFmtId="49" xfId="0" applyAlignment="1" applyFont="1" applyNumberFormat="1">
      <alignment horizontal="right"/>
    </xf>
    <xf borderId="0" fillId="0" fontId="3" numFmtId="0" xfId="0" applyFont="1"/>
    <xf borderId="0" fillId="0" fontId="4" numFmtId="0" xfId="0" applyFont="1"/>
    <xf borderId="1" fillId="2" fontId="4" numFmtId="0" xfId="0" applyBorder="1" applyFont="1"/>
    <xf borderId="1" fillId="3" fontId="4" numFmtId="0" xfId="0" applyBorder="1" applyFont="1"/>
    <xf borderId="1" fillId="2" fontId="3" numFmtId="0" xfId="0" applyBorder="1" applyFont="1"/>
    <xf borderId="0" fillId="0" fontId="3" numFmtId="49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0.56"/>
    <col customWidth="1" min="3" max="3" width="17.78"/>
    <col customWidth="1" min="4" max="4" width="18.78"/>
    <col customWidth="1" min="5" max="5" width="17.67"/>
    <col customWidth="1" min="6" max="6" width="19.56"/>
    <col customWidth="1" min="7" max="7" width="10.56"/>
    <col customWidth="1" min="8" max="8" width="7.11"/>
    <col customWidth="1" min="9" max="9" width="17.11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H1" s="5">
        <v>30.0</v>
      </c>
      <c r="I1" s="6" t="s">
        <v>6</v>
      </c>
    </row>
    <row r="2" ht="15.75" customHeight="1">
      <c r="A2" s="7">
        <v>35.776095</v>
      </c>
      <c r="B2" s="8">
        <v>-78.634539</v>
      </c>
      <c r="C2" s="9" t="s">
        <v>7</v>
      </c>
      <c r="D2" s="10">
        <v>7.0</v>
      </c>
      <c r="E2" s="11">
        <v>6.0E-5</v>
      </c>
      <c r="F2" s="12">
        <f>($H$1 * COUNTA(E2:E75) * (E2^$H$2) * (D2^(-$H$3))) / (SUMPRODUCT((E2:E75^$H$2) * (D2:D75^(-$H$3))))</f>
        <v>19.61753778</v>
      </c>
      <c r="H2" s="13">
        <v>0.4</v>
      </c>
      <c r="I2" s="13" t="s">
        <v>8</v>
      </c>
    </row>
    <row r="3" ht="15.75" customHeight="1">
      <c r="A3" s="8">
        <v>35.792248</v>
      </c>
      <c r="B3" s="8">
        <v>-78.654451</v>
      </c>
      <c r="C3" s="9" t="s">
        <v>9</v>
      </c>
      <c r="D3" s="10">
        <v>7.0</v>
      </c>
      <c r="E3" s="11">
        <v>8.2E-5</v>
      </c>
      <c r="F3" s="12">
        <f>($H$1 * COUNTA(E2:E75) * (E3^$H$2) * (D3^(-$H$3))) / (SUMPRODUCT((E2:E75^$H$2) * (D2:D75^(-$H$3))))</f>
        <v>22.22846833</v>
      </c>
      <c r="H3" s="13">
        <v>0.6</v>
      </c>
      <c r="I3" s="13" t="s">
        <v>10</v>
      </c>
    </row>
    <row r="4" ht="15.75" customHeight="1">
      <c r="A4" s="8">
        <v>35.776416</v>
      </c>
      <c r="B4" s="8">
        <v>-78.639149</v>
      </c>
      <c r="C4" s="9" t="s">
        <v>11</v>
      </c>
      <c r="D4" s="10">
        <v>8.0</v>
      </c>
      <c r="E4" s="11">
        <v>5.8E-5</v>
      </c>
      <c r="F4" s="12">
        <f>($H$1 * COUNTA(E2:E75) * (E4^$H$2) * (D4^(-$H$3))) / (SUMPRODUCT((E2:E75^$H$2) * (D2:D75^(-$H$3))))</f>
        <v>17.8632315</v>
      </c>
    </row>
    <row r="5" ht="15.75" customHeight="1">
      <c r="A5" s="8">
        <v>35.796022</v>
      </c>
      <c r="B5" s="8">
        <v>-78.64726</v>
      </c>
      <c r="C5" s="9" t="s">
        <v>12</v>
      </c>
      <c r="D5" s="10">
        <v>7.0</v>
      </c>
      <c r="E5" s="11">
        <v>6.9E-5</v>
      </c>
      <c r="F5" s="12">
        <f>($H$1 * COUNTA(E2:E75) * (E5^$H$2) * (D5^(-$H$3))) / (SUMPRODUCT((E2:E75^$H$2) * (D2:D75^(-$H$3))))</f>
        <v>20.74548697</v>
      </c>
    </row>
    <row r="6" ht="15.75" customHeight="1">
      <c r="A6" s="8">
        <v>35.789829</v>
      </c>
      <c r="B6" s="8">
        <v>-78.650014</v>
      </c>
      <c r="C6" s="9" t="s">
        <v>12</v>
      </c>
      <c r="D6" s="10">
        <v>7.0</v>
      </c>
      <c r="E6" s="11">
        <v>6.9E-5</v>
      </c>
      <c r="F6" s="12">
        <f>($H$1 * COUNTA(E2:E75) * (E6^$H$2) * (D6^(-$H$3))) / (SUMPRODUCT((E2:E75^$H$2) * (D2:D75^(-$H$3))))</f>
        <v>20.74548697</v>
      </c>
    </row>
    <row r="7" ht="15.75" customHeight="1">
      <c r="A7" s="8">
        <v>35.785007</v>
      </c>
      <c r="B7" s="8">
        <v>-78.653078</v>
      </c>
      <c r="C7" s="9" t="s">
        <v>9</v>
      </c>
      <c r="D7" s="10">
        <v>7.0</v>
      </c>
      <c r="E7" s="11">
        <v>8.2E-5</v>
      </c>
      <c r="F7" s="14">
        <f>($H$1 * COUNTA(E2:E75) * (E7^$H$2) * (D7^(-$H$3))) / (SUMPRODUCT((E2:E75^$H$2) * (D2:D75^(-$H$3))))</f>
        <v>22.22846833</v>
      </c>
    </row>
    <row r="8" ht="15.75" customHeight="1">
      <c r="A8" s="8">
        <v>35.791378</v>
      </c>
      <c r="B8" s="8">
        <v>-78.630676</v>
      </c>
      <c r="C8" s="15" t="s">
        <v>13</v>
      </c>
      <c r="D8" s="10">
        <v>7.0</v>
      </c>
      <c r="E8" s="10">
        <v>1.01E-4</v>
      </c>
      <c r="F8" s="12">
        <f>($H$1 * COUNTA(E2:E75) * (E8^$H$2) * (D8^(-$H$3))) / (SUMPRODUCT((E2:E75^$H$2) * (D2:D75^(-$H$3))))</f>
        <v>24.1608688</v>
      </c>
    </row>
    <row r="9" ht="15.75" customHeight="1">
      <c r="A9" s="8">
        <v>35.795007</v>
      </c>
      <c r="B9" s="8">
        <v>-78.623949</v>
      </c>
      <c r="C9" s="15" t="s">
        <v>14</v>
      </c>
      <c r="D9" s="10">
        <v>7.5</v>
      </c>
      <c r="E9" s="10">
        <v>1.11824E-4</v>
      </c>
      <c r="F9" s="12">
        <f>($H$1 * COUNTA(E2:E75) * (E9^$H$2) * (D9^(-$H$3))) / (SUMPRODUCT((E2:E75^$H$2) * (D2:D75^(-$H$3))))</f>
        <v>24.14460321</v>
      </c>
    </row>
    <row r="10" ht="15.75" customHeight="1">
      <c r="A10" s="8">
        <v>35.806274</v>
      </c>
      <c r="B10" s="16">
        <v>-78.617581</v>
      </c>
      <c r="C10" s="15" t="s">
        <v>15</v>
      </c>
      <c r="D10" s="10">
        <v>11.0</v>
      </c>
      <c r="E10" s="10">
        <v>1.23089E-4</v>
      </c>
      <c r="F10" s="12">
        <f>($H$1 * COUNTA(E2:E75) * (E10^$H$2) * (D10^(-$H$3))) / (SUMPRODUCT((E2:E75^$H$2) * (D2:D75^(-$H$3))))</f>
        <v>19.93861133</v>
      </c>
    </row>
    <row r="11" ht="15.75" customHeight="1">
      <c r="A11" s="8">
        <v>35.788577</v>
      </c>
      <c r="B11" s="8">
        <v>-78.616604</v>
      </c>
      <c r="C11" s="15" t="s">
        <v>16</v>
      </c>
      <c r="D11" s="10">
        <v>10.0</v>
      </c>
      <c r="E11" s="10">
        <v>6.93E-5</v>
      </c>
      <c r="F11" s="12">
        <f>($H$1 * COUNTA(E2:E75) * (E11^$H$2) * (D11^(-$H$3))) / (SUMPRODUCT((E2:E75^$H$2) * (D2:D75^(-$H$3))))</f>
        <v>16.77784258</v>
      </c>
    </row>
    <row r="12" ht="15.75" customHeight="1">
      <c r="A12" s="8">
        <v>35.78245</v>
      </c>
      <c r="B12" s="8">
        <v>-78.618664</v>
      </c>
      <c r="C12" s="15" t="s">
        <v>17</v>
      </c>
      <c r="D12" s="10">
        <v>13.5</v>
      </c>
      <c r="E12" s="10">
        <v>5.16E-5</v>
      </c>
      <c r="F12" s="12">
        <f>($H$1 * COUNTA(E2:E75) * (E12^$H$2) * (D12^(-$H$3))) / (SUMPRODUCT((E2:E75^$H$2) * (D2:D75^(-$H$3))))</f>
        <v>12.45381589</v>
      </c>
    </row>
    <row r="13" ht="15.75" customHeight="1">
      <c r="A13" s="8">
        <v>35.788525</v>
      </c>
      <c r="B13" s="8">
        <v>-78.63219</v>
      </c>
      <c r="C13" s="15" t="s">
        <v>13</v>
      </c>
      <c r="D13" s="10">
        <v>7.0</v>
      </c>
      <c r="E13" s="10">
        <v>1.01E-4</v>
      </c>
      <c r="F13" s="12">
        <f>($H$1 * COUNTA(E2:E75) * (E13^$H$2) * (D13^(-$H$3))) / (SUMPRODUCT((E2:E75^$H$2) * (D2:D75^(-$H$3))))</f>
        <v>24.1608688</v>
      </c>
    </row>
    <row r="14" ht="15.75" customHeight="1">
      <c r="A14" s="8">
        <v>35.774549</v>
      </c>
      <c r="B14" s="8">
        <v>-78.631485</v>
      </c>
      <c r="C14" s="9" t="s">
        <v>18</v>
      </c>
      <c r="D14" s="10">
        <v>13.5</v>
      </c>
      <c r="E14" s="11">
        <v>5.2E-5</v>
      </c>
      <c r="F14" s="12">
        <f>($H$1 * COUNTA(E2:E75) * (E14^$H$2) * (D14^(-$H$3))) / (SUMPRODUCT((E2:E75^$H$2) * (D2:D75^(-$H$3))))</f>
        <v>12.49234293</v>
      </c>
    </row>
    <row r="15" ht="15.75" customHeight="1">
      <c r="A15" s="8">
        <v>35.775581</v>
      </c>
      <c r="B15" s="16">
        <v>-78.618035</v>
      </c>
      <c r="C15" s="15" t="s">
        <v>19</v>
      </c>
      <c r="D15" s="10">
        <v>11.5</v>
      </c>
      <c r="E15" s="10">
        <v>1.08258E-4</v>
      </c>
      <c r="F15" s="12">
        <f>($H$1 * COUNTA(E2:E75) * (E15^$H$2) * (D15^(-$H$3))) / (SUMPRODUCT((E2:E75^$H$2) * (D2:D75^(-$H$3))))</f>
        <v>18.44200422</v>
      </c>
    </row>
    <row r="16" ht="15.75" customHeight="1">
      <c r="A16" s="8">
        <v>35.764762</v>
      </c>
      <c r="B16" s="8">
        <v>-78.620896</v>
      </c>
      <c r="C16" s="15" t="s">
        <v>20</v>
      </c>
      <c r="D16" s="10">
        <v>9.0</v>
      </c>
      <c r="E16" s="10">
        <v>9.35E-5</v>
      </c>
      <c r="F16" s="12">
        <f>($H$1 * COUNTA(E2:E75) * (E16^$H$2) * (D16^(-$H$3))) / (SUMPRODUCT((E2:E75^$H$2) * (D2:D75^(-$H$3))))</f>
        <v>20.14753691</v>
      </c>
    </row>
    <row r="17" ht="15.75" customHeight="1">
      <c r="A17" s="8">
        <v>35.768783</v>
      </c>
      <c r="B17" s="8">
        <v>-78.64692</v>
      </c>
      <c r="C17" s="9" t="s">
        <v>21</v>
      </c>
      <c r="D17" s="10">
        <v>13.0</v>
      </c>
      <c r="E17" s="11">
        <v>1.25E-4</v>
      </c>
      <c r="F17" s="12">
        <f>($H$1 * COUNTA(E2:E75) * (E17^$H$2) * (D17^(-$H$3))) / (SUMPRODUCT((E2:E75^$H$2) * (D2:D75^(-$H$3))))</f>
        <v>18.14850332</v>
      </c>
    </row>
    <row r="18" ht="15.75" customHeight="1">
      <c r="A18" s="8">
        <v>35.768278</v>
      </c>
      <c r="B18" s="8">
        <v>-78.641469</v>
      </c>
      <c r="C18" s="9" t="s">
        <v>22</v>
      </c>
      <c r="D18" s="10">
        <v>14.5</v>
      </c>
      <c r="E18" s="11">
        <v>9.2E-5</v>
      </c>
      <c r="F18" s="12">
        <f>($H$1 * COUNTA(E2:E75) * (E18^$H$2) * (D18^(-$H$3))) / (SUMPRODUCT((E2:E75^$H$2) * (D2:D75^(-$H$3))))</f>
        <v>15.03616736</v>
      </c>
    </row>
    <row r="19" ht="15.75" customHeight="1">
      <c r="A19" s="8">
        <v>35.772826</v>
      </c>
      <c r="B19" s="8">
        <v>-78.638525</v>
      </c>
      <c r="C19" s="9" t="s">
        <v>23</v>
      </c>
      <c r="D19" s="10">
        <v>9.0</v>
      </c>
      <c r="E19" s="11">
        <v>5.5E-5</v>
      </c>
      <c r="F19" s="12">
        <f>($H$1 * COUNTA(E2:E75) * (E19^$H$2) * (D19^(-$H$3))) / (SUMPRODUCT((E2:E75^$H$2) * (D2:D75^(-$H$3))))</f>
        <v>16.29455076</v>
      </c>
    </row>
    <row r="20" ht="15.75" customHeight="1">
      <c r="A20" s="16">
        <v>35.751809</v>
      </c>
      <c r="B20" s="16">
        <v>-78.578091</v>
      </c>
      <c r="C20" s="15" t="s">
        <v>24</v>
      </c>
      <c r="D20" s="10">
        <v>11.0</v>
      </c>
      <c r="E20" s="10">
        <v>4.85335E-4</v>
      </c>
      <c r="F20" s="12">
        <f>($H$1 * COUNTA(E2:E75) * (E20^$H$2) * (D20^(-$H$3))) / (SUMPRODUCT((E2:E75^$H$2) * (D2:D75^(-$H$3))))</f>
        <v>34.5162698</v>
      </c>
    </row>
    <row r="21" ht="15.75" customHeight="1">
      <c r="A21" s="8">
        <v>35.828936</v>
      </c>
      <c r="B21" s="8">
        <v>-78.673117</v>
      </c>
      <c r="C21" s="9" t="s">
        <v>25</v>
      </c>
      <c r="D21" s="10">
        <v>6.5</v>
      </c>
      <c r="E21" s="11">
        <v>1.74E-4</v>
      </c>
      <c r="F21" s="12">
        <f>($H$1 * COUNTA(E2:E75) * (E21^$H$2) * (D21^(-$H$3))) / (SUMPRODUCT((E2:E75^$H$2) * (D2:D75^(-$H$3))))</f>
        <v>31.39890528</v>
      </c>
    </row>
    <row r="22" ht="15.75" customHeight="1">
      <c r="A22" s="8">
        <v>35.820326</v>
      </c>
      <c r="B22" s="8">
        <v>-78.682718</v>
      </c>
      <c r="C22" s="9" t="s">
        <v>26</v>
      </c>
      <c r="D22" s="10">
        <v>8.0</v>
      </c>
      <c r="E22" s="11">
        <v>2.02E-4</v>
      </c>
      <c r="F22" s="12">
        <f>($H$1 * COUNTA(E2:E75) * (E22^$H$2) * (D22^(-$H$3))) / (SUMPRODUCT((E2:E75^$H$2) * (D2:D75^(-$H$3))))</f>
        <v>29.42587441</v>
      </c>
    </row>
    <row r="23" ht="15.75" customHeight="1">
      <c r="A23" s="8">
        <v>35.819456</v>
      </c>
      <c r="B23" s="8">
        <v>-78.670744</v>
      </c>
      <c r="C23" s="9" t="s">
        <v>26</v>
      </c>
      <c r="D23" s="10">
        <v>8.0</v>
      </c>
      <c r="E23" s="11">
        <v>2.02E-4</v>
      </c>
      <c r="F23" s="12">
        <f>($H$1 * COUNTA(E2:E75) * (E23^$H$2) * (D23^(-$H$3))) / (SUMPRODUCT((E2:E75^$H$2) * (D2:D75^(-$H$3))))</f>
        <v>29.42587441</v>
      </c>
    </row>
    <row r="24" ht="15.75" customHeight="1">
      <c r="A24" s="8">
        <v>35.808006</v>
      </c>
      <c r="B24" s="8">
        <v>-78.689632</v>
      </c>
      <c r="C24" s="9" t="s">
        <v>27</v>
      </c>
      <c r="D24" s="10">
        <v>8.5</v>
      </c>
      <c r="E24" s="11">
        <v>1.06E-4</v>
      </c>
      <c r="F24" s="12">
        <f>($H$1 * COUNTA(E2:E75) * (E24^$H$2) * (D24^(-$H$3))) / (SUMPRODUCT((E2:E75^$H$2) * (D2:D75^(-$H$3))))</f>
        <v>21.92369805</v>
      </c>
    </row>
    <row r="25" ht="15.75" customHeight="1">
      <c r="A25" s="8">
        <v>35.813331</v>
      </c>
      <c r="B25" s="8">
        <v>-78.687438</v>
      </c>
      <c r="C25" s="9" t="s">
        <v>27</v>
      </c>
      <c r="D25" s="10">
        <v>8.5</v>
      </c>
      <c r="E25" s="11">
        <v>1.06E-4</v>
      </c>
      <c r="F25" s="12">
        <f>($H$1 * COUNTA(E2:E75) * (E25^$H$2) * (D25^(-$H$3))) / (SUMPRODUCT((E2:E75^$H$2) * (D2:D75^(-$H$3))))</f>
        <v>21.92369805</v>
      </c>
    </row>
    <row r="26" ht="15.75" customHeight="1">
      <c r="A26" s="8">
        <v>35.808131</v>
      </c>
      <c r="B26" s="8">
        <v>-78.672028</v>
      </c>
      <c r="C26" s="9" t="s">
        <v>28</v>
      </c>
      <c r="D26" s="10">
        <v>6.5</v>
      </c>
      <c r="E26" s="11">
        <v>0.046002</v>
      </c>
      <c r="F26" s="12">
        <f>($H$1 * COUNTA(E2:E75) * (E26^$H$2) * (D26^(-$H$3))) / (SUMPRODUCT((E2:E75^$H$2) * (D2:D75^(-$H$3))))</f>
        <v>292.2843033</v>
      </c>
    </row>
    <row r="27" ht="15.75" customHeight="1">
      <c r="A27" s="8">
        <v>35.811452</v>
      </c>
      <c r="B27" s="8">
        <v>-78.655348</v>
      </c>
      <c r="C27" s="9" t="s">
        <v>29</v>
      </c>
      <c r="D27" s="10">
        <v>6.5</v>
      </c>
      <c r="E27" s="11">
        <v>6.9E-5</v>
      </c>
      <c r="F27" s="12">
        <f>($H$1 * COUNTA(E2:E75) * (E27^$H$2) * (D27^(-$H$3))) / (SUMPRODUCT((E2:E75^$H$2) * (D2:D75^(-$H$3))))</f>
        <v>21.68874605</v>
      </c>
    </row>
    <row r="28" ht="15.75" customHeight="1">
      <c r="A28" s="8">
        <v>35.8069</v>
      </c>
      <c r="B28" s="8">
        <v>-78.650774</v>
      </c>
      <c r="C28" s="9" t="s">
        <v>29</v>
      </c>
      <c r="D28" s="10">
        <v>6.5</v>
      </c>
      <c r="E28" s="11">
        <v>6.9E-5</v>
      </c>
      <c r="F28" s="12">
        <f>($H$1 * COUNTA(E2:E75) * (E28^$H$2) * (D28^(-$H$3))) / (SUMPRODUCT((E2:E75^$H$2) * (D2:D75^(-$H$3))))</f>
        <v>21.68874605</v>
      </c>
    </row>
    <row r="29" ht="15.75" customHeight="1">
      <c r="A29" s="8">
        <v>35.800661</v>
      </c>
      <c r="B29" s="8">
        <v>-78.649942</v>
      </c>
      <c r="C29" s="9" t="s">
        <v>30</v>
      </c>
      <c r="D29" s="10">
        <v>8.5</v>
      </c>
      <c r="E29" s="11">
        <v>6.8E-5</v>
      </c>
      <c r="F29" s="12">
        <f>($H$1 * COUNTA(E2:E75) * (E29^$H$2) * (D29^(-$H$3))) / (SUMPRODUCT((E2:E75^$H$2) * (D2:D75^(-$H$3))))</f>
        <v>18.35671778</v>
      </c>
    </row>
    <row r="30" ht="15.75" customHeight="1">
      <c r="A30" s="8">
        <v>35.803409</v>
      </c>
      <c r="B30" s="8">
        <v>-78.66081</v>
      </c>
      <c r="C30" s="9" t="s">
        <v>31</v>
      </c>
      <c r="D30" s="10">
        <v>8.0</v>
      </c>
      <c r="E30" s="11">
        <v>9.8E-5</v>
      </c>
      <c r="F30" s="12">
        <f>($H$1 * COUNTA(E2:E75) * (E30^$H$2) * (D30^(-$H$3))) / (SUMPRODUCT((E2:E75^$H$2) * (D2:D75^(-$H$3))))</f>
        <v>22.03328538</v>
      </c>
    </row>
    <row r="31" ht="15.75" customHeight="1">
      <c r="A31" s="8">
        <v>35.806194</v>
      </c>
      <c r="B31" s="8">
        <v>-78.670766</v>
      </c>
      <c r="C31" s="9" t="s">
        <v>32</v>
      </c>
      <c r="D31" s="10">
        <v>8.0</v>
      </c>
      <c r="E31" s="11">
        <v>6.7E-5</v>
      </c>
      <c r="F31" s="12">
        <f>($H$1 * COUNTA(E2:E75) * (E31^$H$2) * (D31^(-$H$3))) / (SUMPRODUCT((E2:E75^$H$2) * (D2:D75^(-$H$3))))</f>
        <v>18.92425321</v>
      </c>
    </row>
    <row r="32" ht="15.75" customHeight="1">
      <c r="A32" s="8">
        <v>35.832186</v>
      </c>
      <c r="B32" s="8">
        <v>-78.663066</v>
      </c>
      <c r="C32" s="9" t="s">
        <v>33</v>
      </c>
      <c r="D32" s="10">
        <v>7.0</v>
      </c>
      <c r="E32" s="11">
        <v>2.65E-4</v>
      </c>
      <c r="F32" s="12">
        <f>($H$1 * COUNTA(E2:E75) * (E32^$H$2) * (D32^(-$H$3))) / (SUMPRODUCT((E2:E75^$H$2) * (D2:D75^(-$H$3))))</f>
        <v>35.53712967</v>
      </c>
    </row>
    <row r="33" ht="15.75" customHeight="1">
      <c r="A33" s="8">
        <v>35.820539</v>
      </c>
      <c r="B33" s="8">
        <v>-78.655367</v>
      </c>
      <c r="C33" s="9" t="s">
        <v>33</v>
      </c>
      <c r="D33" s="10">
        <v>7.0</v>
      </c>
      <c r="E33" s="11">
        <v>2.65E-4</v>
      </c>
      <c r="F33" s="12">
        <f>($H$1 * COUNTA(E2:E75) * (E33^$H$2) * (D33^(-$H$3))) / (SUMPRODUCT((E2:E75^$H$2) * (D2:D75^(-$H$3))))</f>
        <v>35.53712967</v>
      </c>
    </row>
    <row r="34" ht="15.75" customHeight="1">
      <c r="A34" s="8">
        <v>35.80713</v>
      </c>
      <c r="B34" s="8">
        <v>-78.626365</v>
      </c>
      <c r="C34" s="9" t="s">
        <v>34</v>
      </c>
      <c r="D34" s="10">
        <v>8.0</v>
      </c>
      <c r="E34" s="11">
        <v>1.61E-4</v>
      </c>
      <c r="F34" s="12">
        <f>($H$1 * COUNTA(E2:E75) * (E34^$H$2) * (D34^(-$H$3))) / (SUMPRODUCT((E2:E75^$H$2) * (D2:D75^(-$H$3))))</f>
        <v>26.87318733</v>
      </c>
    </row>
    <row r="35" ht="15.75" customHeight="1">
      <c r="A35" s="8">
        <v>35.812699</v>
      </c>
      <c r="B35" s="8">
        <v>-78.642329</v>
      </c>
      <c r="C35" s="9" t="s">
        <v>35</v>
      </c>
      <c r="D35" s="10">
        <v>8.0</v>
      </c>
      <c r="E35" s="11">
        <v>1.17E-4</v>
      </c>
      <c r="F35" s="12">
        <f>($H$1 * COUNTA(E2:E75) * (E35^$H$2) * (D35^(-$H$3))) / (SUMPRODUCT((E2:E75^$H$2) * (D2:D75^(-$H$3))))</f>
        <v>23.65174423</v>
      </c>
    </row>
    <row r="36" ht="15.75" customHeight="1">
      <c r="A36" s="8">
        <v>35.81604</v>
      </c>
      <c r="B36" s="8">
        <v>-78.630656</v>
      </c>
      <c r="C36" s="9" t="s">
        <v>36</v>
      </c>
      <c r="D36" s="10">
        <v>6.5</v>
      </c>
      <c r="E36" s="11">
        <v>1.3E-4</v>
      </c>
      <c r="F36" s="12">
        <f>($H$1 * COUNTA(E2:E75) * (E36^$H$2) * (D36^(-$H$3))) / (SUMPRODUCT((E2:E75^$H$2) * (D2:D75^(-$H$3))))</f>
        <v>27.94294323</v>
      </c>
    </row>
    <row r="37" ht="15.75" customHeight="1">
      <c r="A37" s="8">
        <v>35.78698</v>
      </c>
      <c r="B37" s="8">
        <v>-78.600826</v>
      </c>
      <c r="C37" s="15" t="s">
        <v>37</v>
      </c>
      <c r="D37" s="10">
        <v>10.0</v>
      </c>
      <c r="E37" s="10">
        <v>1.89219E-4</v>
      </c>
      <c r="F37" s="12">
        <f>($H$1 * COUNTA(E2:E75) * (E37^$H$2) * (D37^(-$H$3))) / (SUMPRODUCT((E2:E75^$H$2) * (D2:D75^(-$H$3))))</f>
        <v>25.07429428</v>
      </c>
    </row>
    <row r="38" ht="15.75" customHeight="1">
      <c r="A38" s="8">
        <v>35.795362</v>
      </c>
      <c r="B38" s="8">
        <v>-78.60216</v>
      </c>
      <c r="C38" s="15" t="s">
        <v>38</v>
      </c>
      <c r="D38" s="10">
        <v>9.5</v>
      </c>
      <c r="E38" s="10">
        <v>1.57217E-4</v>
      </c>
      <c r="F38" s="12">
        <f>($H$1 * COUNTA(E2:E75) * (E38^$H$2) * (D38^(-$H$3))) / (SUMPRODUCT((E2:E75^$H$2) * (D2:D75^(-$H$3))))</f>
        <v>24.01090117</v>
      </c>
    </row>
    <row r="39" ht="15.75" customHeight="1">
      <c r="A39" s="8">
        <v>35.796628</v>
      </c>
      <c r="B39" s="8">
        <v>-78.591859</v>
      </c>
      <c r="C39" s="15" t="s">
        <v>39</v>
      </c>
      <c r="D39" s="10">
        <v>11.0</v>
      </c>
      <c r="E39" s="10">
        <v>4.11E-4</v>
      </c>
      <c r="F39" s="12">
        <f>($H$1 * COUNTA(E2:E75) * (E39^$H$2) * (D39^(-$H$3))) / (SUMPRODUCT((E2:E75^$H$2) * (D2:D75^(-$H$3))))</f>
        <v>32.29564325</v>
      </c>
    </row>
    <row r="40" ht="15.75" customHeight="1">
      <c r="A40" s="8">
        <v>35.786769</v>
      </c>
      <c r="B40" s="8">
        <v>-78.580104</v>
      </c>
      <c r="C40" s="15" t="s">
        <v>40</v>
      </c>
      <c r="D40" s="10">
        <v>14.0</v>
      </c>
      <c r="E40" s="10">
        <v>8.72E-5</v>
      </c>
      <c r="F40" s="12">
        <f>($H$1 * COUNTA(E2:E75) * (E40^$H$2) * (D40^(-$H$3))) / (SUMPRODUCT((E2:E75^$H$2) * (D2:D75^(-$H$3))))</f>
        <v>15.03047114</v>
      </c>
    </row>
    <row r="41" ht="15.75" customHeight="1">
      <c r="A41" s="8">
        <v>35.781912</v>
      </c>
      <c r="B41" s="8">
        <v>-78.591663</v>
      </c>
      <c r="C41" s="15" t="s">
        <v>41</v>
      </c>
      <c r="D41" s="10">
        <v>13.0</v>
      </c>
      <c r="E41" s="10">
        <v>2.51757E-4</v>
      </c>
      <c r="F41" s="12">
        <f>($H$1 * COUNTA(E2:E75) * (E41^$H$2) * (D41^(-$H$3))) / (SUMPRODUCT((E2:E75^$H$2) * (D2:D75^(-$H$3))))</f>
        <v>24.01427236</v>
      </c>
    </row>
    <row r="42" ht="15.75" customHeight="1">
      <c r="A42" s="8">
        <v>35.72589</v>
      </c>
      <c r="B42" s="8">
        <v>-78.620981</v>
      </c>
      <c r="C42" s="15" t="s">
        <v>42</v>
      </c>
      <c r="D42" s="10">
        <v>9.0</v>
      </c>
      <c r="E42" s="10">
        <v>4.21E-4</v>
      </c>
      <c r="F42" s="12">
        <f>($H$1 * COUNTA(E2:E75) * (E42^$H$2) * (D42^(-$H$3))) / (SUMPRODUCT((E2:E75^$H$2) * (D2:D75^(-$H$3))))</f>
        <v>36.77986697</v>
      </c>
    </row>
    <row r="43" ht="15.75" customHeight="1">
      <c r="A43" s="8">
        <v>35.725612</v>
      </c>
      <c r="B43" s="8">
        <v>-78.606219</v>
      </c>
      <c r="C43" s="15" t="s">
        <v>42</v>
      </c>
      <c r="D43" s="10">
        <v>9.0</v>
      </c>
      <c r="E43" s="10">
        <v>4.21E-4</v>
      </c>
      <c r="F43" s="12">
        <f>($H$1 * COUNTA(E2:E75) * (E43^$H$2) * (D43^(-$H$3))) / (SUMPRODUCT((E2:E75^$H$2) * (D2:D75^(-$H$3))))</f>
        <v>36.77986697</v>
      </c>
    </row>
    <row r="44" ht="15.75" customHeight="1">
      <c r="A44" s="8">
        <v>35.727841</v>
      </c>
      <c r="B44" s="8">
        <v>-78.604845</v>
      </c>
      <c r="C44" s="15" t="s">
        <v>42</v>
      </c>
      <c r="D44" s="10">
        <v>9.0</v>
      </c>
      <c r="E44" s="10">
        <v>4.21E-4</v>
      </c>
      <c r="F44" s="12">
        <f>($H$1 * COUNTA(E2:E75) * (E44^$H$2) * (D44^(-$H$3))) / (SUMPRODUCT((E2:E75^$H$2) * (D2:D75^(-$H$3))))</f>
        <v>36.77986697</v>
      </c>
    </row>
    <row r="45" ht="15.75" customHeight="1">
      <c r="A45" s="8">
        <v>35.755834</v>
      </c>
      <c r="B45" s="8">
        <v>-78.587266</v>
      </c>
      <c r="C45" s="15" t="s">
        <v>43</v>
      </c>
      <c r="D45" s="10">
        <v>10.0</v>
      </c>
      <c r="E45" s="10">
        <v>1.29E-4</v>
      </c>
      <c r="F45" s="12">
        <f>($H$1 * COUNTA(E2:E75) * (E45^$H$2) * (D45^(-$H$3))) / (SUMPRODUCT((E2:E75^$H$2) * (D2:D75^(-$H$3))))</f>
        <v>21.51189679</v>
      </c>
    </row>
    <row r="46" ht="15.75" customHeight="1">
      <c r="A46" s="8">
        <v>35.697735</v>
      </c>
      <c r="B46" s="8">
        <v>-78.593516</v>
      </c>
      <c r="C46" s="15" t="s">
        <v>44</v>
      </c>
      <c r="D46" s="10">
        <v>12.0</v>
      </c>
      <c r="E46" s="10">
        <v>3.33E-4</v>
      </c>
      <c r="F46" s="12">
        <f>($H$1 * COUNTA(E2:E75) * (E46^$H$2) * (D46^(-$H$3))) / (SUMPRODUCT((E2:E75^$H$2) * (D2:D75^(-$H$3))))</f>
        <v>28.17810397</v>
      </c>
    </row>
    <row r="47" ht="15.75" customHeight="1">
      <c r="A47" s="8">
        <v>35.769989</v>
      </c>
      <c r="B47" s="8">
        <v>-78.657377</v>
      </c>
      <c r="C47" s="9" t="s">
        <v>45</v>
      </c>
      <c r="D47" s="10">
        <v>9.5</v>
      </c>
      <c r="E47" s="11">
        <v>6.96E-4</v>
      </c>
      <c r="F47" s="12">
        <f>($H$1 * COUNTA(E2:E75) * (E47^$H$2) * (D47^(-$H$3))) / (SUMPRODUCT((E2:E75^$H$2) * (D2:D75^(-$H$3))))</f>
        <v>43.53638391</v>
      </c>
    </row>
    <row r="48" ht="15.75" customHeight="1">
      <c r="A48" s="8">
        <v>35.769688</v>
      </c>
      <c r="B48" s="8">
        <v>-78.67939</v>
      </c>
      <c r="C48" s="9" t="s">
        <v>45</v>
      </c>
      <c r="D48" s="10">
        <v>9.5</v>
      </c>
      <c r="E48" s="11">
        <v>6.96E-4</v>
      </c>
      <c r="F48" s="12">
        <f>($H$1 * COUNTA(E2:E75) * (E48^$H$2) * (D48^(-$H$3))) / (SUMPRODUCT((E2:E75^$H$2) * (D2:D75^(-$H$3))))</f>
        <v>43.53638391</v>
      </c>
    </row>
    <row r="49" ht="15.75" customHeight="1">
      <c r="A49" s="8">
        <v>35.832952</v>
      </c>
      <c r="B49" s="8">
        <v>-78.653366</v>
      </c>
      <c r="C49" s="9" t="s">
        <v>46</v>
      </c>
      <c r="D49" s="10">
        <v>8.0</v>
      </c>
      <c r="E49" s="11">
        <v>1.98E-4</v>
      </c>
      <c r="F49" s="12">
        <f>($H$1 * COUNTA(E2:E75) * (E49^$H$2) * (D49^(-$H$3))) / (SUMPRODUCT((E2:E75^$H$2) * (D2:D75^(-$H$3))))</f>
        <v>29.19139875</v>
      </c>
    </row>
    <row r="50" ht="15.75" customHeight="1">
      <c r="A50" s="8">
        <v>35.847214</v>
      </c>
      <c r="B50" s="8">
        <v>-78.61788</v>
      </c>
      <c r="C50" s="15" t="s">
        <v>47</v>
      </c>
      <c r="D50" s="10">
        <v>10.5</v>
      </c>
      <c r="E50" s="10">
        <v>1.53E-4</v>
      </c>
      <c r="F50" s="12">
        <f>($H$1 * COUNTA(E2:E75) * (E50^$H$2) * (D50^(-$H$3))) / (SUMPRODUCT((E2:E75^$H$2) * (D2:D75^(-$H$3))))</f>
        <v>22.36690094</v>
      </c>
    </row>
    <row r="51" ht="15.75" customHeight="1">
      <c r="A51" s="8">
        <v>35.832185</v>
      </c>
      <c r="B51" s="8">
        <v>-78.632716</v>
      </c>
      <c r="C51" s="15" t="s">
        <v>48</v>
      </c>
      <c r="D51" s="10">
        <v>7.0</v>
      </c>
      <c r="E51" s="10">
        <v>1.11E-4</v>
      </c>
      <c r="F51" s="12">
        <f>($H$1 * COUNTA(E2:E75) * (E51^$H$2) * (D51^(-$H$3))) / (SUMPRODUCT((E2:E75^$H$2) * (D2:D75^(-$H$3))))</f>
        <v>25.09072375</v>
      </c>
    </row>
    <row r="52" ht="15.75" customHeight="1">
      <c r="A52" s="8">
        <v>35.846379</v>
      </c>
      <c r="B52" s="8">
        <v>-78.615477</v>
      </c>
      <c r="C52" s="15" t="s">
        <v>47</v>
      </c>
      <c r="D52" s="10">
        <v>10.5</v>
      </c>
      <c r="E52" s="10">
        <v>1.53E-4</v>
      </c>
      <c r="F52" s="12">
        <f>($H$1 * COUNTA(E2:E75) * (E52^$H$2) * (D52^(-$H$3))) / (SUMPRODUCT((E2:E75^$H$2) * (D2:D75^(-$H$3))))</f>
        <v>22.36690094</v>
      </c>
    </row>
    <row r="53" ht="15.75" customHeight="1">
      <c r="A53" s="8">
        <v>35.848605</v>
      </c>
      <c r="B53" s="8">
        <v>-78.600027</v>
      </c>
      <c r="C53" s="15" t="s">
        <v>49</v>
      </c>
      <c r="D53" s="10">
        <v>11.0</v>
      </c>
      <c r="E53" s="11">
        <v>4.09069E-4</v>
      </c>
      <c r="F53" s="12">
        <f>($H$1 * COUNTA(E2:E75) * (E53^$H$2) * (D53^(-$H$3))) / (SUMPRODUCT((E2:E75^$H$2) * (D2:D75^(-$H$3))))</f>
        <v>32.23486368</v>
      </c>
    </row>
    <row r="54" ht="15.75" customHeight="1">
      <c r="A54" s="16">
        <v>35.801719</v>
      </c>
      <c r="B54" s="16">
        <v>-78.684006</v>
      </c>
      <c r="C54" s="9" t="s">
        <v>50</v>
      </c>
      <c r="D54" s="10">
        <v>8.0</v>
      </c>
      <c r="E54" s="11">
        <v>1.61E-4</v>
      </c>
      <c r="F54" s="12">
        <f>($H$1 * COUNTA(E2:E75) * (E54^$H$2) * (D54^(-$H$3))) / (SUMPRODUCT((E2:E75^$H$2) * (D2:D75^(-$H$3))))</f>
        <v>26.87318733</v>
      </c>
    </row>
    <row r="55" ht="15.75" customHeight="1">
      <c r="A55" s="8">
        <v>35.832185</v>
      </c>
      <c r="B55" s="16">
        <v>-78.593466</v>
      </c>
      <c r="C55" s="15" t="s">
        <v>51</v>
      </c>
      <c r="D55" s="10">
        <v>10.5</v>
      </c>
      <c r="E55" s="10">
        <v>5.05E-5</v>
      </c>
      <c r="F55" s="12">
        <f>($H$1 * COUNTA(E2:E75) * (E55^$H$2) * (D55^(-$H$3))) / (SUMPRODUCT((E2:E75^$H$2) * (D2:D75^(-$H$3))))</f>
        <v>14.35640803</v>
      </c>
    </row>
    <row r="56" ht="15.75" customHeight="1">
      <c r="A56" s="8">
        <v>35.841926</v>
      </c>
      <c r="B56" s="8">
        <v>-78.600714</v>
      </c>
      <c r="C56" s="15" t="s">
        <v>52</v>
      </c>
      <c r="D56" s="10">
        <v>14.0</v>
      </c>
      <c r="E56" s="17">
        <v>1.33031E-4</v>
      </c>
      <c r="F56" s="12">
        <f>($H$1 * COUNTA(E2:E75) * (E56^$H$2) * (D56^(-$H$3))) / (SUMPRODUCT((E2:E75^$H$2) * (D2:D75^(-$H$3))))</f>
        <v>17.79701401</v>
      </c>
    </row>
    <row r="57" ht="15.75" customHeight="1">
      <c r="A57" s="8">
        <v>35.822198</v>
      </c>
      <c r="B57" s="8">
        <v>-78.619328</v>
      </c>
      <c r="C57" s="15" t="s">
        <v>53</v>
      </c>
      <c r="D57" s="10">
        <v>9.0</v>
      </c>
      <c r="E57" s="10">
        <v>2.41236E-4</v>
      </c>
      <c r="F57" s="12">
        <f>($H$1 * COUNTA(E2:E75) * (E57^$H$2) * (D57^(-$H$3))) / (SUMPRODUCT((E2:E75^$H$2) * (D2:D75^(-$H$3))))</f>
        <v>29.43568612</v>
      </c>
    </row>
    <row r="58" ht="15.75" customHeight="1">
      <c r="A58" s="8">
        <v>35.815482</v>
      </c>
      <c r="B58" s="8">
        <v>-78.589041</v>
      </c>
      <c r="C58" s="15" t="s">
        <v>54</v>
      </c>
      <c r="D58" s="10">
        <v>11.0</v>
      </c>
      <c r="E58" s="10">
        <v>2.21961E-4</v>
      </c>
      <c r="F58" s="12">
        <f>($H$1 * COUNTA(E2:E75) * (E58^$H$2) * (D58^(-$H$3))) / (SUMPRODUCT((E2:E75^$H$2) * (D2:D75^(-$H$3))))</f>
        <v>25.24165807</v>
      </c>
    </row>
    <row r="59" ht="15.75" customHeight="1">
      <c r="A59" s="8">
        <v>35.799055</v>
      </c>
      <c r="B59" s="8">
        <v>-78.598311</v>
      </c>
      <c r="C59" s="15" t="s">
        <v>38</v>
      </c>
      <c r="D59" s="10">
        <v>9.5</v>
      </c>
      <c r="E59" s="10">
        <v>1.57217E-4</v>
      </c>
      <c r="F59" s="12">
        <f>($H$1 * COUNTA(E2:E75) * (E59^$H$2) * (D59^(-$H$3))) / (SUMPRODUCT((E2:E75^$H$2) * (D2:D75^(-$H$3))))</f>
        <v>24.01090117</v>
      </c>
    </row>
    <row r="60" ht="15.75" customHeight="1">
      <c r="A60" s="8">
        <v>35.807129</v>
      </c>
      <c r="B60" s="8">
        <v>-78.581144</v>
      </c>
      <c r="C60" s="15" t="s">
        <v>39</v>
      </c>
      <c r="D60" s="10">
        <v>11.0</v>
      </c>
      <c r="E60" s="10">
        <v>4.11E-4</v>
      </c>
      <c r="F60" s="12">
        <f>($H$1 * COUNTA(E2:E75) * (E60^$H$2) * (D60^(-$H$3))) / (SUMPRODUCT((E2:E75^$H$2) * (D2:D75^(-$H$3))))</f>
        <v>32.29564325</v>
      </c>
    </row>
    <row r="61" ht="15.75" customHeight="1">
      <c r="A61" s="8">
        <v>35.707214</v>
      </c>
      <c r="B61" s="8">
        <v>-78.591799</v>
      </c>
      <c r="C61" s="15" t="s">
        <v>55</v>
      </c>
      <c r="D61" s="10">
        <v>12.5</v>
      </c>
      <c r="E61" s="10">
        <v>6.80045E-4</v>
      </c>
      <c r="F61" s="12">
        <f>($H$1 * COUNTA(E2:E75) * (E61^$H$2) * (D61^(-$H$3))) / (SUMPRODUCT((E2:E75^$H$2) * (D2:D75^(-$H$3))))</f>
        <v>36.58574258</v>
      </c>
    </row>
    <row r="62" ht="15.75" customHeight="1">
      <c r="A62" s="8">
        <v>35.719201</v>
      </c>
      <c r="B62" s="8">
        <v>-78.57429</v>
      </c>
      <c r="C62" s="15" t="s">
        <v>56</v>
      </c>
      <c r="D62" s="10">
        <v>9.0</v>
      </c>
      <c r="E62" s="10">
        <v>0.001777</v>
      </c>
      <c r="F62" s="12">
        <f>($H$1 * COUNTA(E2:E75) * (E62^$H$2) * (D62^(-$H$3))) / (SUMPRODUCT((E2:E75^$H$2) * (D2:D75^(-$H$3))))</f>
        <v>65.42930194</v>
      </c>
    </row>
    <row r="63" ht="15.75" customHeight="1">
      <c r="A63" s="8">
        <v>35.71948</v>
      </c>
      <c r="B63" s="8">
        <v>-78.593172</v>
      </c>
      <c r="C63" s="15" t="s">
        <v>55</v>
      </c>
      <c r="D63" s="10">
        <v>12.5</v>
      </c>
      <c r="E63" s="10">
        <v>6.80045E-4</v>
      </c>
      <c r="F63" s="12">
        <f>($H$1 * COUNTA(E2:E75) * (E63^$H$2) * (D63^(-$H$3))) / (SUMPRODUCT((E2:E75^$H$2) * (D2:D75^(-$H$3))))</f>
        <v>36.58574258</v>
      </c>
    </row>
    <row r="64" ht="15.75" customHeight="1">
      <c r="A64" s="8">
        <v>35.736782</v>
      </c>
      <c r="B64" s="8">
        <v>-78.58109</v>
      </c>
      <c r="C64" s="15" t="s">
        <v>57</v>
      </c>
      <c r="D64" s="10">
        <v>13.0</v>
      </c>
      <c r="E64" s="10">
        <v>4.26647E-4</v>
      </c>
      <c r="F64" s="12">
        <f>($H$1 * COUNTA(E2:E75) * (E64^$H$2) * (D64^(-$H$3))) / (SUMPRODUCT((E2:E75^$H$2) * (D2:D75^(-$H$3))))</f>
        <v>29.65543429</v>
      </c>
    </row>
    <row r="65" ht="15.75" customHeight="1">
      <c r="A65" s="8">
        <v>35.850987</v>
      </c>
      <c r="B65" s="8">
        <v>-78.590813</v>
      </c>
      <c r="C65" s="15" t="s">
        <v>49</v>
      </c>
      <c r="D65" s="10">
        <v>11.0</v>
      </c>
      <c r="E65" s="11">
        <v>4.09069E-4</v>
      </c>
      <c r="F65" s="12">
        <f>($H$1 * COUNTA(E2:E75) * (E65^$H$2) * (D65^(-$H$3))) / (SUMPRODUCT((E2:E75^$H$2) * (D2:D75^(-$H$3))))</f>
        <v>32.23486368</v>
      </c>
    </row>
    <row r="66" ht="15.75" customHeight="1">
      <c r="A66" s="8">
        <v>35.767181</v>
      </c>
      <c r="B66" s="8">
        <v>-78.543434</v>
      </c>
      <c r="C66" s="15" t="s">
        <v>58</v>
      </c>
      <c r="D66" s="10">
        <v>10.0</v>
      </c>
      <c r="E66" s="10">
        <v>7.30365E-4</v>
      </c>
      <c r="F66" s="12">
        <f>($H$1 * COUNTA(E2:E75) * (E66^$H$2) * (D66^(-$H$3))) / (SUMPRODUCT((E2:E75^$H$2) * (D2:D75^(-$H$3))))</f>
        <v>43.03866609</v>
      </c>
    </row>
    <row r="67" ht="15.75" customHeight="1">
      <c r="A67" s="8">
        <v>35.79559</v>
      </c>
      <c r="B67" s="8">
        <v>-78.578453</v>
      </c>
      <c r="C67" s="15" t="s">
        <v>59</v>
      </c>
      <c r="D67" s="10">
        <v>11.0</v>
      </c>
      <c r="E67" s="10">
        <v>5.14506E-4</v>
      </c>
      <c r="F67" s="12">
        <f>($H$1 * COUNTA(E2:E75) * (E67^$H$2) * (D67^(-$H$3))) / (SUMPRODUCT((E2:E75^$H$2) * (D2:D75^(-$H$3))))</f>
        <v>35.33160674</v>
      </c>
    </row>
    <row r="68" ht="15.75" customHeight="1">
      <c r="A68" s="8">
        <v>35.737407</v>
      </c>
      <c r="B68" s="8">
        <v>-78.65944</v>
      </c>
      <c r="C68" s="9" t="s">
        <v>60</v>
      </c>
      <c r="D68" s="10">
        <v>7.0</v>
      </c>
      <c r="E68" s="11">
        <v>7.7E-5</v>
      </c>
      <c r="F68" s="12">
        <f>($H$1 * COUNTA(E2:E75) * (E68^$H$2) * (D68^(-$H$3))) / (SUMPRODUCT((E2:E75^$H$2) * (D2:D75^(-$H$3))))</f>
        <v>21.67605716</v>
      </c>
    </row>
    <row r="69" ht="15.75" customHeight="1">
      <c r="A69" s="8">
        <v>35.747754</v>
      </c>
      <c r="B69" s="8">
        <v>-78.663831</v>
      </c>
      <c r="C69" s="9" t="s">
        <v>61</v>
      </c>
      <c r="D69" s="10">
        <v>12.5</v>
      </c>
      <c r="E69" s="11">
        <v>1.54E-4</v>
      </c>
      <c r="F69" s="12">
        <f>($H$1 * COUNTA(E2:E75) * (E69^$H$2) * (D69^(-$H$3))) / (SUMPRODUCT((E2:E75^$H$2) * (D2:D75^(-$H$3))))</f>
        <v>20.19784811</v>
      </c>
    </row>
    <row r="70" ht="15.75" customHeight="1">
      <c r="A70" s="16">
        <v>35.794688</v>
      </c>
      <c r="B70" s="16">
        <v>-78.70609</v>
      </c>
      <c r="C70" s="9" t="s">
        <v>62</v>
      </c>
      <c r="D70" s="10">
        <v>6.0</v>
      </c>
      <c r="E70" s="11">
        <v>1.98E-4</v>
      </c>
      <c r="F70" s="12">
        <f>($H$1 * COUNTA(E2:E75) * (E70^$H$2) * (D70^(-$H$3))) / (SUMPRODUCT((E2:E75^$H$2) * (D2:D75^(-$H$3))))</f>
        <v>34.69110611</v>
      </c>
    </row>
    <row r="71" ht="15.75" customHeight="1">
      <c r="A71" s="8">
        <v>35.740126</v>
      </c>
      <c r="B71" s="8">
        <v>-78.651815</v>
      </c>
      <c r="C71" s="9" t="s">
        <v>63</v>
      </c>
      <c r="D71" s="10">
        <v>10.0</v>
      </c>
      <c r="E71" s="11">
        <v>8.9E-5</v>
      </c>
      <c r="F71" s="12">
        <f>($H$1 * COUNTA(E2:E75) * (E71^$H$2) * (D71^(-$H$3))) / (SUMPRODUCT((E2:E75^$H$2) * (D2:D75^(-$H$3))))</f>
        <v>18.54380382</v>
      </c>
    </row>
    <row r="72" ht="15.75" customHeight="1">
      <c r="A72" s="8">
        <v>35.734303</v>
      </c>
      <c r="B72" s="8">
        <v>-78.611756</v>
      </c>
      <c r="C72" s="15" t="s">
        <v>64</v>
      </c>
      <c r="D72" s="10">
        <v>10.0</v>
      </c>
      <c r="E72" s="10">
        <v>3.56413E-4</v>
      </c>
      <c r="F72" s="12">
        <f>($H$1 * COUNTA(E2:E75) * (E72^$H$2) * (D72^(-$H$3))) / (SUMPRODUCT((E2:E75^$H$2) * (D2:D75^(-$H$3))))</f>
        <v>32.30161496</v>
      </c>
    </row>
    <row r="73" ht="15.75" customHeight="1">
      <c r="A73" s="8">
        <v>35.749189</v>
      </c>
      <c r="B73" s="8">
        <v>-78.649806</v>
      </c>
      <c r="C73" s="9" t="s">
        <v>65</v>
      </c>
      <c r="D73" s="10">
        <v>7.0</v>
      </c>
      <c r="E73" s="11">
        <v>1.11E-4</v>
      </c>
      <c r="F73" s="12">
        <f>($H$1 * COUNTA(E2:E75) * (E73^$H$2) * (D73^(-$H$3))) / (SUMPRODUCT((E2:E75^$H$2) * (D2:D75^(-$H$3))))</f>
        <v>25.09072375</v>
      </c>
    </row>
    <row r="74" ht="15.75" customHeight="1">
      <c r="A74" s="8">
        <v>35.734581</v>
      </c>
      <c r="B74" s="8">
        <v>-78.642311</v>
      </c>
      <c r="C74" s="9" t="s">
        <v>66</v>
      </c>
      <c r="D74" s="10">
        <v>9.0</v>
      </c>
      <c r="E74" s="11">
        <v>5.82E-4</v>
      </c>
      <c r="F74" s="12">
        <f>($H$1 * COUNTA(E2:E75) * (E74^$H$2) * (D74^(-$H$3))) / (SUMPRODUCT((E2:E75^$H$2) * (D2:D75^(-$H$3))))</f>
        <v>41.86648591</v>
      </c>
    </row>
    <row r="75" ht="15.75" customHeight="1">
      <c r="A75" s="8">
        <v>35.75465</v>
      </c>
      <c r="B75" s="8">
        <v>-78.650184</v>
      </c>
      <c r="C75" s="9" t="s">
        <v>67</v>
      </c>
      <c r="D75" s="10">
        <v>12.0</v>
      </c>
      <c r="E75" s="11">
        <v>1.28E-4</v>
      </c>
      <c r="F75" s="12">
        <f>($H$1 * COUNTA(E2:E75) * (E75^$H$2) * (D75^(-$H$3))) / (SUMPRODUCT((E2:E75^$H$2) * (D2:D75^(-$H$3))))</f>
        <v>19.2228626</v>
      </c>
    </row>
    <row r="76" ht="15.75" customHeight="1">
      <c r="C76" s="18"/>
      <c r="F76" s="12"/>
    </row>
    <row r="77" ht="15.75" customHeight="1">
      <c r="C77" s="18"/>
      <c r="F77" s="12"/>
    </row>
    <row r="78" ht="15.75" customHeight="1">
      <c r="C78" s="18"/>
      <c r="F78" s="12"/>
    </row>
    <row r="79" ht="15.75" customHeight="1">
      <c r="C79" s="18"/>
      <c r="F79" s="12"/>
    </row>
    <row r="80" ht="15.75" customHeight="1">
      <c r="C80" s="18"/>
      <c r="F80" s="12"/>
    </row>
    <row r="81" ht="15.75" customHeight="1">
      <c r="C81" s="18"/>
      <c r="F81" s="12"/>
    </row>
    <row r="82" ht="15.75" customHeight="1">
      <c r="C82" s="18"/>
      <c r="F82" s="12"/>
    </row>
    <row r="83" ht="15.75" customHeight="1">
      <c r="C83" s="18"/>
      <c r="F83" s="12"/>
    </row>
    <row r="84" ht="15.75" customHeight="1">
      <c r="C84" s="18"/>
      <c r="F84" s="12"/>
    </row>
    <row r="85" ht="15.75" customHeight="1">
      <c r="C85" s="18"/>
      <c r="F85" s="12"/>
    </row>
    <row r="86" ht="15.75" customHeight="1">
      <c r="C86" s="18"/>
      <c r="F86" s="12"/>
    </row>
    <row r="87" ht="15.75" customHeight="1">
      <c r="C87" s="18"/>
      <c r="F87" s="12"/>
    </row>
    <row r="88" ht="15.75" customHeight="1">
      <c r="C88" s="18"/>
      <c r="F88" s="12"/>
    </row>
    <row r="89" ht="15.75" customHeight="1">
      <c r="C89" s="18"/>
      <c r="F89" s="12"/>
    </row>
    <row r="90" ht="15.75" customHeight="1">
      <c r="C90" s="18"/>
      <c r="F90" s="12"/>
    </row>
    <row r="91" ht="15.75" customHeight="1">
      <c r="C91" s="18"/>
      <c r="F91" s="12"/>
    </row>
    <row r="92" ht="15.75" customHeight="1">
      <c r="C92" s="18"/>
      <c r="F92" s="12"/>
    </row>
    <row r="93" ht="15.75" customHeight="1">
      <c r="C93" s="18"/>
      <c r="F93" s="12"/>
    </row>
    <row r="94" ht="15.75" customHeight="1">
      <c r="C94" s="18"/>
      <c r="F94" s="12"/>
    </row>
    <row r="95" ht="15.75" customHeight="1">
      <c r="C95" s="18"/>
      <c r="F95" s="12"/>
    </row>
    <row r="96" ht="15.75" customHeight="1">
      <c r="C96" s="18"/>
      <c r="F96" s="12"/>
    </row>
    <row r="97" ht="15.75" customHeight="1">
      <c r="C97" s="18"/>
      <c r="F97" s="12"/>
    </row>
    <row r="98" ht="15.75" customHeight="1">
      <c r="C98" s="18"/>
      <c r="F98" s="12"/>
    </row>
    <row r="99" ht="15.75" customHeight="1">
      <c r="C99" s="18"/>
      <c r="F99" s="12"/>
    </row>
    <row r="100" ht="15.75" customHeight="1">
      <c r="C100" s="18"/>
      <c r="F100" s="12"/>
    </row>
    <row r="101" ht="15.75" customHeight="1">
      <c r="C101" s="18"/>
      <c r="F101" s="12"/>
    </row>
    <row r="102" ht="15.75" customHeight="1">
      <c r="C102" s="18"/>
      <c r="F102" s="12"/>
    </row>
    <row r="103" ht="15.75" customHeight="1">
      <c r="C103" s="18"/>
      <c r="F103" s="12"/>
    </row>
    <row r="104" ht="15.75" customHeight="1">
      <c r="C104" s="18"/>
      <c r="F104" s="12"/>
    </row>
    <row r="105" ht="15.75" customHeight="1">
      <c r="C105" s="18"/>
      <c r="F105" s="12"/>
    </row>
    <row r="106" ht="15.75" customHeight="1">
      <c r="C106" s="18"/>
      <c r="F106" s="12"/>
    </row>
    <row r="107" ht="15.75" customHeight="1">
      <c r="C107" s="18"/>
      <c r="F107" s="12"/>
    </row>
    <row r="108" ht="15.75" customHeight="1">
      <c r="C108" s="18"/>
      <c r="F108" s="12"/>
    </row>
    <row r="109" ht="15.75" customHeight="1">
      <c r="C109" s="18"/>
      <c r="F109" s="12"/>
    </row>
    <row r="110" ht="15.75" customHeight="1">
      <c r="C110" s="18"/>
      <c r="F110" s="12"/>
    </row>
    <row r="111" ht="15.75" customHeight="1">
      <c r="C111" s="18"/>
      <c r="F111" s="12"/>
    </row>
    <row r="112" ht="15.75" customHeight="1">
      <c r="C112" s="18"/>
      <c r="F112" s="12"/>
    </row>
    <row r="113" ht="15.75" customHeight="1">
      <c r="C113" s="18"/>
      <c r="F113" s="12"/>
    </row>
    <row r="114" ht="15.75" customHeight="1">
      <c r="C114" s="18"/>
      <c r="F114" s="12"/>
    </row>
    <row r="115" ht="15.75" customHeight="1">
      <c r="C115" s="18"/>
      <c r="F115" s="12"/>
    </row>
    <row r="116" ht="15.75" customHeight="1">
      <c r="C116" s="18"/>
      <c r="F116" s="12"/>
    </row>
    <row r="117" ht="15.75" customHeight="1">
      <c r="C117" s="18"/>
      <c r="F117" s="12"/>
    </row>
    <row r="118" ht="15.75" customHeight="1">
      <c r="C118" s="18"/>
      <c r="F118" s="12"/>
    </row>
    <row r="119" ht="15.75" customHeight="1">
      <c r="C119" s="18"/>
      <c r="F119" s="12"/>
    </row>
    <row r="120" ht="15.75" customHeight="1">
      <c r="C120" s="18"/>
      <c r="F120" s="12"/>
    </row>
    <row r="121" ht="15.75" customHeight="1">
      <c r="C121" s="18"/>
      <c r="F121" s="12"/>
    </row>
    <row r="122" ht="15.75" customHeight="1">
      <c r="C122" s="18"/>
      <c r="F122" s="12"/>
    </row>
    <row r="123" ht="15.75" customHeight="1">
      <c r="C123" s="18"/>
      <c r="F123" s="12"/>
    </row>
    <row r="124" ht="15.75" customHeight="1">
      <c r="C124" s="18"/>
      <c r="F124" s="12"/>
    </row>
    <row r="125" ht="15.75" customHeight="1">
      <c r="C125" s="18"/>
      <c r="F125" s="12"/>
    </row>
    <row r="126" ht="15.75" customHeight="1">
      <c r="C126" s="18"/>
      <c r="F126" s="12"/>
    </row>
    <row r="127" ht="15.75" customHeight="1">
      <c r="C127" s="18"/>
      <c r="F127" s="12"/>
    </row>
    <row r="128" ht="15.75" customHeight="1">
      <c r="C128" s="18"/>
      <c r="F128" s="12"/>
    </row>
    <row r="129" ht="15.75" customHeight="1">
      <c r="C129" s="18"/>
      <c r="F129" s="12"/>
    </row>
    <row r="130" ht="15.75" customHeight="1">
      <c r="C130" s="18"/>
      <c r="F130" s="12"/>
    </row>
    <row r="131" ht="15.75" customHeight="1">
      <c r="C131" s="18"/>
      <c r="F131" s="12"/>
    </row>
    <row r="132" ht="15.75" customHeight="1">
      <c r="C132" s="18"/>
      <c r="F132" s="12"/>
    </row>
    <row r="133" ht="15.75" customHeight="1">
      <c r="C133" s="18"/>
      <c r="F133" s="12"/>
    </row>
    <row r="134" ht="15.75" customHeight="1">
      <c r="C134" s="18"/>
      <c r="F134" s="12"/>
    </row>
    <row r="135" ht="15.75" customHeight="1">
      <c r="C135" s="18"/>
      <c r="F135" s="12"/>
    </row>
    <row r="136" ht="15.75" customHeight="1">
      <c r="C136" s="18"/>
      <c r="F136" s="12"/>
    </row>
    <row r="137" ht="15.75" customHeight="1">
      <c r="C137" s="18"/>
      <c r="F137" s="12"/>
    </row>
    <row r="138" ht="15.75" customHeight="1">
      <c r="C138" s="18"/>
      <c r="F138" s="12"/>
    </row>
    <row r="139" ht="15.75" customHeight="1">
      <c r="C139" s="18"/>
      <c r="F139" s="12"/>
    </row>
    <row r="140" ht="15.75" customHeight="1">
      <c r="C140" s="18"/>
      <c r="F140" s="12"/>
    </row>
    <row r="141" ht="15.75" customHeight="1">
      <c r="C141" s="18"/>
      <c r="F141" s="12"/>
    </row>
    <row r="142" ht="15.75" customHeight="1">
      <c r="C142" s="18"/>
      <c r="F142" s="12"/>
    </row>
    <row r="143" ht="15.75" customHeight="1">
      <c r="C143" s="18"/>
      <c r="F143" s="12"/>
    </row>
    <row r="144" ht="15.75" customHeight="1">
      <c r="C144" s="18"/>
      <c r="F144" s="12"/>
    </row>
    <row r="145" ht="15.75" customHeight="1">
      <c r="C145" s="18"/>
      <c r="F145" s="12"/>
    </row>
    <row r="146" ht="15.75" customHeight="1">
      <c r="C146" s="18"/>
      <c r="F146" s="12"/>
    </row>
    <row r="147" ht="15.75" customHeight="1">
      <c r="C147" s="18"/>
      <c r="F147" s="12"/>
    </row>
    <row r="148" ht="15.75" customHeight="1">
      <c r="C148" s="18"/>
      <c r="F148" s="12"/>
    </row>
    <row r="149" ht="15.75" customHeight="1">
      <c r="C149" s="18"/>
      <c r="F149" s="12"/>
    </row>
    <row r="150" ht="15.75" customHeight="1">
      <c r="C150" s="18"/>
      <c r="F150" s="12"/>
    </row>
    <row r="151" ht="15.75" customHeight="1">
      <c r="C151" s="18"/>
      <c r="F151" s="12"/>
    </row>
    <row r="152" ht="15.75" customHeight="1">
      <c r="C152" s="18"/>
      <c r="F152" s="12"/>
    </row>
    <row r="153" ht="15.75" customHeight="1">
      <c r="C153" s="18"/>
      <c r="F153" s="12"/>
    </row>
    <row r="154" ht="15.75" customHeight="1">
      <c r="C154" s="18"/>
      <c r="F154" s="12"/>
    </row>
    <row r="155" ht="15.75" customHeight="1">
      <c r="C155" s="18"/>
      <c r="F155" s="12"/>
    </row>
    <row r="156" ht="15.75" customHeight="1">
      <c r="C156" s="18"/>
      <c r="F156" s="12"/>
    </row>
    <row r="157" ht="15.75" customHeight="1">
      <c r="C157" s="18"/>
      <c r="F157" s="12"/>
    </row>
    <row r="158" ht="15.75" customHeight="1">
      <c r="C158" s="18"/>
      <c r="F158" s="12"/>
    </row>
    <row r="159" ht="15.75" customHeight="1">
      <c r="C159" s="18"/>
      <c r="F159" s="12"/>
    </row>
    <row r="160" ht="15.75" customHeight="1">
      <c r="C160" s="18"/>
      <c r="F160" s="12"/>
    </row>
    <row r="161" ht="15.75" customHeight="1">
      <c r="C161" s="18"/>
      <c r="F161" s="12"/>
    </row>
    <row r="162" ht="15.75" customHeight="1">
      <c r="C162" s="18"/>
      <c r="F162" s="12"/>
    </row>
    <row r="163" ht="15.75" customHeight="1">
      <c r="C163" s="18"/>
      <c r="F163" s="12"/>
    </row>
    <row r="164" ht="15.75" customHeight="1">
      <c r="C164" s="18"/>
      <c r="F164" s="12"/>
    </row>
    <row r="165" ht="15.75" customHeight="1">
      <c r="C165" s="18"/>
      <c r="F165" s="12"/>
    </row>
    <row r="166" ht="15.75" customHeight="1">
      <c r="C166" s="18"/>
      <c r="F166" s="12"/>
    </row>
    <row r="167" ht="15.75" customHeight="1">
      <c r="C167" s="18"/>
      <c r="F167" s="12"/>
    </row>
    <row r="168" ht="15.75" customHeight="1">
      <c r="C168" s="18"/>
      <c r="F168" s="12"/>
    </row>
    <row r="169" ht="15.75" customHeight="1">
      <c r="C169" s="18"/>
      <c r="F169" s="12"/>
    </row>
    <row r="170" ht="15.75" customHeight="1">
      <c r="C170" s="18"/>
      <c r="F170" s="12"/>
    </row>
    <row r="171" ht="15.75" customHeight="1">
      <c r="C171" s="18"/>
      <c r="F171" s="12"/>
    </row>
    <row r="172" ht="15.75" customHeight="1">
      <c r="C172" s="18"/>
      <c r="F172" s="12"/>
    </row>
    <row r="173" ht="15.75" customHeight="1">
      <c r="C173" s="18"/>
      <c r="F173" s="12"/>
    </row>
    <row r="174" ht="15.75" customHeight="1">
      <c r="C174" s="18"/>
      <c r="F174" s="12"/>
    </row>
    <row r="175" ht="15.75" customHeight="1">
      <c r="C175" s="18"/>
      <c r="F175" s="12"/>
    </row>
    <row r="176" ht="15.75" customHeight="1">
      <c r="C176" s="18"/>
      <c r="F176" s="12"/>
    </row>
    <row r="177" ht="15.75" customHeight="1">
      <c r="C177" s="18"/>
      <c r="F177" s="12"/>
    </row>
    <row r="178" ht="15.75" customHeight="1">
      <c r="C178" s="18"/>
      <c r="F178" s="12"/>
    </row>
    <row r="179" ht="15.75" customHeight="1">
      <c r="C179" s="18"/>
      <c r="F179" s="12"/>
    </row>
    <row r="180" ht="15.75" customHeight="1">
      <c r="C180" s="18"/>
      <c r="F180" s="12"/>
    </row>
    <row r="181" ht="15.75" customHeight="1">
      <c r="C181" s="18"/>
      <c r="F181" s="12"/>
    </row>
    <row r="182" ht="15.75" customHeight="1">
      <c r="C182" s="18"/>
      <c r="F182" s="12"/>
    </row>
    <row r="183" ht="15.75" customHeight="1">
      <c r="C183" s="18"/>
      <c r="F183" s="12"/>
    </row>
    <row r="184" ht="15.75" customHeight="1">
      <c r="C184" s="18"/>
      <c r="F184" s="12"/>
    </row>
    <row r="185" ht="15.75" customHeight="1">
      <c r="C185" s="18"/>
      <c r="F185" s="12"/>
    </row>
    <row r="186" ht="15.75" customHeight="1">
      <c r="C186" s="18"/>
      <c r="F186" s="12"/>
    </row>
    <row r="187" ht="15.75" customHeight="1">
      <c r="C187" s="18"/>
      <c r="F187" s="12"/>
    </row>
    <row r="188" ht="15.75" customHeight="1">
      <c r="C188" s="18"/>
      <c r="F188" s="12"/>
    </row>
    <row r="189" ht="15.75" customHeight="1">
      <c r="C189" s="18"/>
      <c r="F189" s="12"/>
    </row>
    <row r="190" ht="15.75" customHeight="1">
      <c r="C190" s="18"/>
      <c r="F190" s="12"/>
    </row>
    <row r="191" ht="15.75" customHeight="1">
      <c r="C191" s="18"/>
      <c r="F191" s="12"/>
    </row>
    <row r="192" ht="15.75" customHeight="1">
      <c r="C192" s="18"/>
      <c r="F192" s="12"/>
    </row>
    <row r="193" ht="15.75" customHeight="1">
      <c r="C193" s="18"/>
      <c r="F193" s="12"/>
    </row>
    <row r="194" ht="15.75" customHeight="1">
      <c r="C194" s="18"/>
      <c r="F194" s="12"/>
    </row>
    <row r="195" ht="15.75" customHeight="1">
      <c r="C195" s="18"/>
      <c r="F195" s="12"/>
    </row>
    <row r="196" ht="15.75" customHeight="1">
      <c r="C196" s="18"/>
      <c r="F196" s="12"/>
    </row>
    <row r="197" ht="15.75" customHeight="1">
      <c r="C197" s="18"/>
      <c r="F197" s="12"/>
    </row>
    <row r="198" ht="15.75" customHeight="1">
      <c r="C198" s="18"/>
      <c r="F198" s="12"/>
    </row>
    <row r="199" ht="15.75" customHeight="1">
      <c r="C199" s="18"/>
      <c r="F199" s="12"/>
    </row>
    <row r="200" ht="15.75" customHeight="1">
      <c r="C200" s="18"/>
      <c r="F200" s="12"/>
    </row>
    <row r="201" ht="15.75" customHeight="1">
      <c r="C201" s="18"/>
      <c r="F201" s="12"/>
    </row>
    <row r="202" ht="15.75" customHeight="1">
      <c r="C202" s="18"/>
      <c r="F202" s="12"/>
    </row>
    <row r="203" ht="15.75" customHeight="1">
      <c r="C203" s="18"/>
      <c r="F203" s="12"/>
    </row>
    <row r="204" ht="15.75" customHeight="1">
      <c r="C204" s="18"/>
      <c r="F204" s="12"/>
    </row>
    <row r="205" ht="15.75" customHeight="1">
      <c r="C205" s="18"/>
      <c r="F205" s="12"/>
    </row>
    <row r="206" ht="15.75" customHeight="1">
      <c r="C206" s="18"/>
      <c r="F206" s="12"/>
    </row>
    <row r="207" ht="15.75" customHeight="1">
      <c r="C207" s="18"/>
      <c r="F207" s="12"/>
    </row>
    <row r="208" ht="15.75" customHeight="1">
      <c r="C208" s="18"/>
      <c r="F208" s="12"/>
    </row>
    <row r="209" ht="15.75" customHeight="1">
      <c r="C209" s="18"/>
      <c r="F209" s="12"/>
    </row>
    <row r="210" ht="15.75" customHeight="1">
      <c r="C210" s="18"/>
      <c r="F210" s="12"/>
    </row>
    <row r="211" ht="15.75" customHeight="1">
      <c r="C211" s="18"/>
      <c r="F211" s="12"/>
    </row>
    <row r="212" ht="15.75" customHeight="1">
      <c r="C212" s="18"/>
      <c r="F212" s="12"/>
    </row>
    <row r="213" ht="15.75" customHeight="1">
      <c r="C213" s="18"/>
      <c r="F213" s="12"/>
    </row>
    <row r="214" ht="15.75" customHeight="1">
      <c r="C214" s="18"/>
      <c r="F214" s="12"/>
    </row>
    <row r="215" ht="15.75" customHeight="1">
      <c r="C215" s="18"/>
      <c r="F215" s="12"/>
    </row>
    <row r="216" ht="15.75" customHeight="1">
      <c r="C216" s="18"/>
      <c r="F216" s="12"/>
    </row>
    <row r="217" ht="15.75" customHeight="1">
      <c r="C217" s="18"/>
      <c r="F217" s="12"/>
    </row>
    <row r="218" ht="15.75" customHeight="1">
      <c r="C218" s="18"/>
      <c r="F218" s="12"/>
    </row>
    <row r="219" ht="15.75" customHeight="1">
      <c r="C219" s="18"/>
      <c r="F219" s="12"/>
    </row>
    <row r="220" ht="15.75" customHeight="1">
      <c r="C220" s="18"/>
      <c r="F220" s="12"/>
    </row>
    <row r="221" ht="15.75" customHeight="1">
      <c r="C221" s="18"/>
      <c r="F221" s="12"/>
    </row>
    <row r="222" ht="15.75" customHeight="1">
      <c r="C222" s="18"/>
      <c r="F222" s="12"/>
    </row>
    <row r="223" ht="15.75" customHeight="1">
      <c r="C223" s="18"/>
      <c r="F223" s="12"/>
    </row>
    <row r="224" ht="15.75" customHeight="1">
      <c r="C224" s="18"/>
      <c r="F224" s="12"/>
    </row>
    <row r="225" ht="15.75" customHeight="1">
      <c r="C225" s="18"/>
      <c r="F225" s="12"/>
    </row>
    <row r="226" ht="15.75" customHeight="1">
      <c r="C226" s="18"/>
      <c r="F226" s="12"/>
    </row>
    <row r="227" ht="15.75" customHeight="1">
      <c r="C227" s="18"/>
      <c r="F227" s="12"/>
    </row>
    <row r="228" ht="15.75" customHeight="1">
      <c r="C228" s="18"/>
      <c r="F228" s="12"/>
    </row>
    <row r="229" ht="15.75" customHeight="1">
      <c r="C229" s="18"/>
      <c r="F229" s="12"/>
    </row>
    <row r="230" ht="15.75" customHeight="1">
      <c r="C230" s="18"/>
      <c r="F230" s="12"/>
    </row>
    <row r="231" ht="15.75" customHeight="1">
      <c r="C231" s="18"/>
      <c r="F231" s="12"/>
    </row>
    <row r="232" ht="15.75" customHeight="1">
      <c r="C232" s="18"/>
      <c r="F232" s="12"/>
    </row>
    <row r="233" ht="15.75" customHeight="1">
      <c r="C233" s="18"/>
      <c r="F233" s="12"/>
    </row>
    <row r="234" ht="15.75" customHeight="1">
      <c r="C234" s="18"/>
      <c r="F234" s="12"/>
    </row>
    <row r="235" ht="15.75" customHeight="1">
      <c r="C235" s="18"/>
      <c r="F235" s="12"/>
    </row>
    <row r="236" ht="15.75" customHeight="1">
      <c r="C236" s="18"/>
      <c r="F236" s="12"/>
    </row>
    <row r="237" ht="15.75" customHeight="1">
      <c r="C237" s="18"/>
      <c r="F237" s="12"/>
    </row>
    <row r="238" ht="15.75" customHeight="1">
      <c r="C238" s="18"/>
      <c r="F238" s="12"/>
    </row>
    <row r="239" ht="15.75" customHeight="1">
      <c r="C239" s="18"/>
      <c r="F239" s="12"/>
    </row>
    <row r="240" ht="15.75" customHeight="1">
      <c r="C240" s="18"/>
      <c r="F240" s="12"/>
    </row>
    <row r="241" ht="15.75" customHeight="1">
      <c r="C241" s="18"/>
      <c r="F241" s="12"/>
    </row>
    <row r="242" ht="15.75" customHeight="1">
      <c r="C242" s="18"/>
      <c r="F242" s="12"/>
    </row>
    <row r="243" ht="15.75" customHeight="1">
      <c r="C243" s="18"/>
      <c r="F243" s="12"/>
    </row>
    <row r="244" ht="15.75" customHeight="1">
      <c r="C244" s="18"/>
      <c r="F244" s="12"/>
    </row>
    <row r="245" ht="15.75" customHeight="1">
      <c r="C245" s="18"/>
      <c r="F245" s="12"/>
    </row>
    <row r="246" ht="15.75" customHeight="1">
      <c r="C246" s="18"/>
      <c r="F246" s="12"/>
    </row>
    <row r="247" ht="15.75" customHeight="1">
      <c r="C247" s="18"/>
      <c r="F247" s="12"/>
    </row>
    <row r="248" ht="15.75" customHeight="1">
      <c r="C248" s="18"/>
      <c r="F248" s="12"/>
    </row>
    <row r="249" ht="15.75" customHeight="1">
      <c r="C249" s="18"/>
      <c r="F249" s="12"/>
    </row>
    <row r="250" ht="15.75" customHeight="1">
      <c r="C250" s="18"/>
      <c r="F250" s="12"/>
    </row>
    <row r="251" ht="15.75" customHeight="1">
      <c r="C251" s="18"/>
      <c r="F251" s="12"/>
    </row>
    <row r="252" ht="15.75" customHeight="1">
      <c r="C252" s="18"/>
      <c r="F252" s="12"/>
    </row>
    <row r="253" ht="15.75" customHeight="1">
      <c r="C253" s="18"/>
      <c r="F253" s="12"/>
    </row>
    <row r="254" ht="15.75" customHeight="1">
      <c r="C254" s="18"/>
      <c r="F254" s="12"/>
    </row>
    <row r="255" ht="15.75" customHeight="1">
      <c r="C255" s="18"/>
      <c r="F255" s="12"/>
    </row>
    <row r="256" ht="15.75" customHeight="1">
      <c r="C256" s="18"/>
      <c r="F256" s="12"/>
    </row>
    <row r="257" ht="15.75" customHeight="1">
      <c r="C257" s="18"/>
      <c r="F257" s="12"/>
    </row>
    <row r="258" ht="15.75" customHeight="1">
      <c r="C258" s="18"/>
      <c r="F258" s="12"/>
    </row>
    <row r="259" ht="15.75" customHeight="1">
      <c r="C259" s="18"/>
      <c r="F259" s="12"/>
    </row>
    <row r="260" ht="15.75" customHeight="1">
      <c r="C260" s="18"/>
      <c r="F260" s="12"/>
    </row>
    <row r="261" ht="15.75" customHeight="1">
      <c r="C261" s="18"/>
      <c r="F261" s="12"/>
    </row>
    <row r="262" ht="15.75" customHeight="1">
      <c r="C262" s="18"/>
      <c r="F262" s="12"/>
    </row>
    <row r="263" ht="15.75" customHeight="1">
      <c r="C263" s="18"/>
      <c r="F263" s="12"/>
    </row>
    <row r="264" ht="15.75" customHeight="1">
      <c r="C264" s="18"/>
      <c r="F264" s="12"/>
    </row>
    <row r="265" ht="15.75" customHeight="1">
      <c r="C265" s="18"/>
      <c r="F265" s="12"/>
    </row>
    <row r="266" ht="15.75" customHeight="1">
      <c r="C266" s="18"/>
      <c r="F266" s="12"/>
    </row>
    <row r="267" ht="15.75" customHeight="1">
      <c r="C267" s="18"/>
      <c r="F267" s="12"/>
    </row>
    <row r="268" ht="15.75" customHeight="1">
      <c r="C268" s="18"/>
      <c r="F268" s="12"/>
    </row>
    <row r="269" ht="15.75" customHeight="1">
      <c r="C269" s="18"/>
      <c r="F269" s="12"/>
    </row>
    <row r="270" ht="15.75" customHeight="1">
      <c r="C270" s="18"/>
      <c r="F270" s="12"/>
    </row>
    <row r="271" ht="15.75" customHeight="1">
      <c r="C271" s="18"/>
      <c r="F271" s="12"/>
    </row>
    <row r="272" ht="15.75" customHeight="1">
      <c r="C272" s="18"/>
      <c r="F272" s="12"/>
    </row>
    <row r="273" ht="15.75" customHeight="1">
      <c r="C273" s="18"/>
      <c r="F273" s="12"/>
    </row>
    <row r="274" ht="15.75" customHeight="1">
      <c r="C274" s="18"/>
      <c r="F274" s="12"/>
    </row>
    <row r="275" ht="15.75" customHeight="1">
      <c r="C275" s="18"/>
      <c r="F275" s="12"/>
    </row>
    <row r="276" ht="15.75" customHeight="1">
      <c r="C276" s="18"/>
      <c r="F276" s="12"/>
    </row>
    <row r="277" ht="15.75" customHeight="1">
      <c r="C277" s="18"/>
      <c r="F277" s="12"/>
    </row>
    <row r="278" ht="15.75" customHeight="1">
      <c r="C278" s="18"/>
      <c r="F278" s="12"/>
    </row>
    <row r="279" ht="15.75" customHeight="1">
      <c r="C279" s="18"/>
      <c r="F279" s="12"/>
    </row>
    <row r="280" ht="15.75" customHeight="1">
      <c r="C280" s="18"/>
      <c r="F280" s="12"/>
    </row>
    <row r="281" ht="15.75" customHeight="1">
      <c r="C281" s="18"/>
      <c r="F281" s="12"/>
    </row>
    <row r="282" ht="15.75" customHeight="1">
      <c r="C282" s="18"/>
      <c r="F282" s="12"/>
    </row>
    <row r="283" ht="15.75" customHeight="1">
      <c r="C283" s="18"/>
      <c r="F283" s="12"/>
    </row>
    <row r="284" ht="15.75" customHeight="1">
      <c r="C284" s="18"/>
      <c r="F284" s="12"/>
    </row>
    <row r="285" ht="15.75" customHeight="1">
      <c r="C285" s="18"/>
      <c r="F285" s="12"/>
    </row>
    <row r="286" ht="15.75" customHeight="1">
      <c r="C286" s="18"/>
      <c r="F286" s="12"/>
    </row>
    <row r="287" ht="15.75" customHeight="1">
      <c r="C287" s="18"/>
      <c r="F287" s="12"/>
    </row>
    <row r="288" ht="15.75" customHeight="1">
      <c r="C288" s="18"/>
      <c r="F288" s="12"/>
    </row>
    <row r="289" ht="15.75" customHeight="1">
      <c r="C289" s="18"/>
      <c r="F289" s="12"/>
    </row>
    <row r="290" ht="15.75" customHeight="1">
      <c r="C290" s="18"/>
      <c r="F290" s="12"/>
    </row>
    <row r="291" ht="15.75" customHeight="1">
      <c r="C291" s="18"/>
      <c r="F291" s="12"/>
    </row>
    <row r="292" ht="15.75" customHeight="1">
      <c r="C292" s="18"/>
      <c r="F292" s="12"/>
    </row>
    <row r="293" ht="15.75" customHeight="1">
      <c r="C293" s="18"/>
      <c r="F293" s="12"/>
    </row>
    <row r="294" ht="15.75" customHeight="1">
      <c r="C294" s="18"/>
      <c r="F294" s="12"/>
    </row>
    <row r="295" ht="15.75" customHeight="1">
      <c r="C295" s="18"/>
      <c r="F295" s="12"/>
    </row>
    <row r="296" ht="15.75" customHeight="1">
      <c r="C296" s="18"/>
      <c r="F296" s="12"/>
    </row>
    <row r="297" ht="15.75" customHeight="1">
      <c r="C297" s="18"/>
      <c r="F297" s="12"/>
    </row>
    <row r="298" ht="15.75" customHeight="1">
      <c r="C298" s="18"/>
      <c r="F298" s="12"/>
    </row>
    <row r="299" ht="15.75" customHeight="1">
      <c r="C299" s="18"/>
      <c r="F299" s="12"/>
    </row>
    <row r="300" ht="15.75" customHeight="1">
      <c r="C300" s="18"/>
      <c r="F300" s="12"/>
    </row>
    <row r="301" ht="15.75" customHeight="1">
      <c r="C301" s="18"/>
      <c r="F301" s="12"/>
    </row>
    <row r="302" ht="15.75" customHeight="1">
      <c r="C302" s="18"/>
      <c r="F302" s="12"/>
    </row>
    <row r="303" ht="15.75" customHeight="1">
      <c r="C303" s="18"/>
      <c r="F303" s="12"/>
    </row>
    <row r="304" ht="15.75" customHeight="1">
      <c r="C304" s="18"/>
      <c r="F304" s="12"/>
    </row>
    <row r="305" ht="15.75" customHeight="1">
      <c r="C305" s="18"/>
      <c r="F305" s="12"/>
    </row>
    <row r="306" ht="15.75" customHeight="1">
      <c r="C306" s="18"/>
      <c r="F306" s="12"/>
    </row>
    <row r="307" ht="15.75" customHeight="1">
      <c r="C307" s="18"/>
      <c r="F307" s="12"/>
    </row>
    <row r="308" ht="15.75" customHeight="1">
      <c r="C308" s="18"/>
      <c r="F308" s="12"/>
    </row>
    <row r="309" ht="15.75" customHeight="1">
      <c r="C309" s="18"/>
      <c r="F309" s="12"/>
    </row>
    <row r="310" ht="15.75" customHeight="1">
      <c r="C310" s="18"/>
      <c r="F310" s="12"/>
    </row>
    <row r="311" ht="15.75" customHeight="1">
      <c r="C311" s="18"/>
      <c r="F311" s="12"/>
    </row>
    <row r="312" ht="15.75" customHeight="1">
      <c r="C312" s="18"/>
      <c r="F312" s="12"/>
    </row>
    <row r="313" ht="15.75" customHeight="1">
      <c r="C313" s="18"/>
      <c r="F313" s="12"/>
    </row>
    <row r="314" ht="15.75" customHeight="1">
      <c r="C314" s="18"/>
      <c r="F314" s="12"/>
    </row>
    <row r="315" ht="15.75" customHeight="1">
      <c r="C315" s="18"/>
      <c r="F315" s="12"/>
    </row>
    <row r="316" ht="15.75" customHeight="1">
      <c r="C316" s="18"/>
      <c r="F316" s="12"/>
    </row>
    <row r="317" ht="15.75" customHeight="1">
      <c r="C317" s="18"/>
      <c r="F317" s="12"/>
    </row>
    <row r="318" ht="15.75" customHeight="1">
      <c r="C318" s="18"/>
      <c r="F318" s="12"/>
    </row>
    <row r="319" ht="15.75" customHeight="1">
      <c r="C319" s="18"/>
      <c r="F319" s="12"/>
    </row>
    <row r="320" ht="15.75" customHeight="1">
      <c r="C320" s="18"/>
      <c r="F320" s="12"/>
    </row>
    <row r="321" ht="15.75" customHeight="1">
      <c r="C321" s="18"/>
      <c r="F321" s="12"/>
    </row>
    <row r="322" ht="15.75" customHeight="1">
      <c r="C322" s="18"/>
      <c r="F322" s="12"/>
    </row>
    <row r="323" ht="15.75" customHeight="1">
      <c r="C323" s="18"/>
      <c r="F323" s="12"/>
    </row>
    <row r="324" ht="15.75" customHeight="1">
      <c r="C324" s="18"/>
      <c r="F324" s="12"/>
    </row>
    <row r="325" ht="15.75" customHeight="1">
      <c r="C325" s="18"/>
      <c r="F325" s="12"/>
    </row>
    <row r="326" ht="15.75" customHeight="1">
      <c r="C326" s="18"/>
      <c r="F326" s="12"/>
    </row>
    <row r="327" ht="15.75" customHeight="1">
      <c r="C327" s="18"/>
      <c r="F327" s="12"/>
    </row>
    <row r="328" ht="15.75" customHeight="1">
      <c r="C328" s="18"/>
      <c r="F328" s="12"/>
    </row>
    <row r="329" ht="15.75" customHeight="1">
      <c r="C329" s="18"/>
      <c r="F329" s="12"/>
    </row>
    <row r="330" ht="15.75" customHeight="1">
      <c r="C330" s="18"/>
      <c r="F330" s="12"/>
    </row>
    <row r="331" ht="15.75" customHeight="1">
      <c r="C331" s="18"/>
      <c r="F331" s="12"/>
    </row>
    <row r="332" ht="15.75" customHeight="1">
      <c r="C332" s="18"/>
      <c r="F332" s="12"/>
    </row>
    <row r="333" ht="15.75" customHeight="1">
      <c r="C333" s="18"/>
      <c r="F333" s="12"/>
    </row>
    <row r="334" ht="15.75" customHeight="1">
      <c r="C334" s="18"/>
      <c r="F334" s="12"/>
    </row>
    <row r="335" ht="15.75" customHeight="1">
      <c r="C335" s="18"/>
      <c r="F335" s="12"/>
    </row>
    <row r="336" ht="15.75" customHeight="1">
      <c r="C336" s="18"/>
      <c r="F336" s="12"/>
    </row>
    <row r="337" ht="15.75" customHeight="1">
      <c r="C337" s="18"/>
      <c r="F337" s="12"/>
    </row>
    <row r="338" ht="15.75" customHeight="1">
      <c r="C338" s="18"/>
      <c r="F338" s="12"/>
    </row>
    <row r="339" ht="15.75" customHeight="1">
      <c r="C339" s="18"/>
      <c r="F339" s="12"/>
    </row>
    <row r="340" ht="15.75" customHeight="1">
      <c r="C340" s="18"/>
      <c r="F340" s="12"/>
    </row>
    <row r="341" ht="15.75" customHeight="1">
      <c r="C341" s="18"/>
      <c r="F341" s="12"/>
    </row>
    <row r="342" ht="15.75" customHeight="1">
      <c r="C342" s="18"/>
      <c r="F342" s="12"/>
    </row>
    <row r="343" ht="15.75" customHeight="1">
      <c r="C343" s="18"/>
      <c r="F343" s="12"/>
    </row>
    <row r="344" ht="15.75" customHeight="1">
      <c r="C344" s="18"/>
      <c r="F344" s="12"/>
    </row>
    <row r="345" ht="15.75" customHeight="1">
      <c r="C345" s="18"/>
      <c r="F345" s="12"/>
    </row>
    <row r="346" ht="15.75" customHeight="1">
      <c r="C346" s="18"/>
      <c r="F346" s="12"/>
    </row>
    <row r="347" ht="15.75" customHeight="1">
      <c r="C347" s="18"/>
      <c r="F347" s="12"/>
    </row>
    <row r="348" ht="15.75" customHeight="1">
      <c r="C348" s="18"/>
      <c r="F348" s="12"/>
    </row>
    <row r="349" ht="15.75" customHeight="1">
      <c r="C349" s="18"/>
      <c r="F349" s="12"/>
    </row>
    <row r="350" ht="15.75" customHeight="1">
      <c r="C350" s="18"/>
      <c r="F350" s="12"/>
    </row>
    <row r="351" ht="15.75" customHeight="1">
      <c r="C351" s="18"/>
      <c r="F351" s="12"/>
    </row>
    <row r="352" ht="15.75" customHeight="1">
      <c r="C352" s="18"/>
      <c r="F352" s="12"/>
    </row>
    <row r="353" ht="15.75" customHeight="1">
      <c r="C353" s="18"/>
      <c r="F353" s="12"/>
    </row>
    <row r="354" ht="15.75" customHeight="1">
      <c r="C354" s="18"/>
      <c r="F354" s="12"/>
    </row>
    <row r="355" ht="15.75" customHeight="1">
      <c r="C355" s="18"/>
      <c r="F355" s="12"/>
    </row>
    <row r="356" ht="15.75" customHeight="1">
      <c r="C356" s="18"/>
      <c r="F356" s="12"/>
    </row>
    <row r="357" ht="15.75" customHeight="1">
      <c r="C357" s="18"/>
      <c r="F357" s="12"/>
    </row>
    <row r="358" ht="15.75" customHeight="1">
      <c r="C358" s="18"/>
      <c r="F358" s="12"/>
    </row>
    <row r="359" ht="15.75" customHeight="1">
      <c r="C359" s="18"/>
      <c r="F359" s="12"/>
    </row>
    <row r="360" ht="15.75" customHeight="1">
      <c r="C360" s="18"/>
      <c r="F360" s="12"/>
    </row>
    <row r="361" ht="15.75" customHeight="1">
      <c r="C361" s="18"/>
      <c r="F361" s="12"/>
    </row>
    <row r="362" ht="15.75" customHeight="1">
      <c r="C362" s="18"/>
      <c r="F362" s="12"/>
    </row>
    <row r="363" ht="15.75" customHeight="1">
      <c r="C363" s="18"/>
      <c r="F363" s="12"/>
    </row>
    <row r="364" ht="15.75" customHeight="1">
      <c r="C364" s="18"/>
      <c r="F364" s="12"/>
    </row>
    <row r="365" ht="15.75" customHeight="1">
      <c r="C365" s="18"/>
      <c r="F365" s="12"/>
    </row>
    <row r="366" ht="15.75" customHeight="1">
      <c r="C366" s="18"/>
      <c r="F366" s="12"/>
    </row>
    <row r="367" ht="15.75" customHeight="1">
      <c r="C367" s="18"/>
      <c r="F367" s="12"/>
    </row>
    <row r="368" ht="15.75" customHeight="1">
      <c r="C368" s="18"/>
      <c r="F368" s="12"/>
    </row>
    <row r="369" ht="15.75" customHeight="1">
      <c r="C369" s="18"/>
      <c r="F369" s="12"/>
    </row>
    <row r="370" ht="15.75" customHeight="1">
      <c r="C370" s="18"/>
      <c r="F370" s="12"/>
    </row>
    <row r="371" ht="15.75" customHeight="1">
      <c r="C371" s="18"/>
      <c r="F371" s="12"/>
    </row>
    <row r="372" ht="15.75" customHeight="1">
      <c r="C372" s="18"/>
      <c r="F372" s="12"/>
    </row>
    <row r="373" ht="15.75" customHeight="1">
      <c r="C373" s="18"/>
      <c r="F373" s="12"/>
    </row>
    <row r="374" ht="15.75" customHeight="1">
      <c r="C374" s="18"/>
      <c r="F374" s="12"/>
    </row>
    <row r="375" ht="15.75" customHeight="1">
      <c r="C375" s="18"/>
      <c r="F375" s="12"/>
    </row>
    <row r="376" ht="15.75" customHeight="1">
      <c r="C376" s="18"/>
      <c r="F376" s="12"/>
    </row>
    <row r="377" ht="15.75" customHeight="1">
      <c r="C377" s="18"/>
      <c r="F377" s="12"/>
    </row>
    <row r="378" ht="15.75" customHeight="1">
      <c r="C378" s="18"/>
      <c r="F378" s="12"/>
    </row>
    <row r="379" ht="15.75" customHeight="1">
      <c r="C379" s="18"/>
      <c r="F379" s="12"/>
    </row>
    <row r="380" ht="15.75" customHeight="1">
      <c r="C380" s="18"/>
      <c r="F380" s="12"/>
    </row>
    <row r="381" ht="15.75" customHeight="1">
      <c r="C381" s="18"/>
      <c r="F381" s="12"/>
    </row>
    <row r="382" ht="15.75" customHeight="1">
      <c r="C382" s="18"/>
      <c r="F382" s="12"/>
    </row>
    <row r="383" ht="15.75" customHeight="1">
      <c r="C383" s="18"/>
      <c r="F383" s="12"/>
    </row>
    <row r="384" ht="15.75" customHeight="1">
      <c r="C384" s="18"/>
      <c r="F384" s="12"/>
    </row>
    <row r="385" ht="15.75" customHeight="1">
      <c r="C385" s="18"/>
      <c r="F385" s="12"/>
    </row>
    <row r="386" ht="15.75" customHeight="1">
      <c r="C386" s="18"/>
      <c r="F386" s="12"/>
    </row>
    <row r="387" ht="15.75" customHeight="1">
      <c r="C387" s="18"/>
      <c r="F387" s="12"/>
    </row>
    <row r="388" ht="15.75" customHeight="1">
      <c r="C388" s="18"/>
      <c r="F388" s="12"/>
    </row>
    <row r="389" ht="15.75" customHeight="1">
      <c r="C389" s="18"/>
      <c r="F389" s="12"/>
    </row>
    <row r="390" ht="15.75" customHeight="1">
      <c r="C390" s="18"/>
      <c r="F390" s="12"/>
    </row>
    <row r="391" ht="15.75" customHeight="1">
      <c r="C391" s="18"/>
      <c r="F391" s="12"/>
    </row>
    <row r="392" ht="15.75" customHeight="1">
      <c r="C392" s="18"/>
      <c r="F392" s="12"/>
    </row>
    <row r="393" ht="15.75" customHeight="1">
      <c r="C393" s="18"/>
      <c r="F393" s="12"/>
    </row>
    <row r="394" ht="15.75" customHeight="1">
      <c r="C394" s="18"/>
      <c r="F394" s="12"/>
    </row>
    <row r="395" ht="15.75" customHeight="1">
      <c r="C395" s="18"/>
      <c r="F395" s="12"/>
    </row>
    <row r="396" ht="15.75" customHeight="1">
      <c r="C396" s="18"/>
      <c r="F396" s="12"/>
    </row>
    <row r="397" ht="15.75" customHeight="1">
      <c r="C397" s="18"/>
      <c r="F397" s="12"/>
    </row>
    <row r="398" ht="15.75" customHeight="1">
      <c r="C398" s="18"/>
      <c r="F398" s="12"/>
    </row>
    <row r="399" ht="15.75" customHeight="1">
      <c r="C399" s="18"/>
      <c r="F399" s="12"/>
    </row>
    <row r="400" ht="15.75" customHeight="1">
      <c r="C400" s="18"/>
      <c r="F400" s="12"/>
    </row>
    <row r="401" ht="15.75" customHeight="1">
      <c r="C401" s="18"/>
      <c r="F401" s="12"/>
    </row>
    <row r="402" ht="15.75" customHeight="1">
      <c r="C402" s="18"/>
      <c r="F402" s="12"/>
    </row>
    <row r="403" ht="15.75" customHeight="1">
      <c r="C403" s="18"/>
      <c r="F403" s="12"/>
    </row>
    <row r="404" ht="15.75" customHeight="1">
      <c r="C404" s="18"/>
      <c r="F404" s="12"/>
    </row>
    <row r="405" ht="15.75" customHeight="1">
      <c r="C405" s="18"/>
      <c r="F405" s="12"/>
    </row>
    <row r="406" ht="15.75" customHeight="1">
      <c r="C406" s="18"/>
      <c r="F406" s="12"/>
    </row>
    <row r="407" ht="15.75" customHeight="1">
      <c r="C407" s="18"/>
      <c r="F407" s="12"/>
    </row>
    <row r="408" ht="15.75" customHeight="1">
      <c r="C408" s="18"/>
      <c r="F408" s="12"/>
    </row>
    <row r="409" ht="15.75" customHeight="1">
      <c r="C409" s="18"/>
      <c r="F409" s="12"/>
    </row>
    <row r="410" ht="15.75" customHeight="1">
      <c r="C410" s="18"/>
      <c r="F410" s="12"/>
    </row>
    <row r="411" ht="15.75" customHeight="1">
      <c r="C411" s="18"/>
      <c r="F411" s="12"/>
    </row>
    <row r="412" ht="15.75" customHeight="1">
      <c r="C412" s="18"/>
      <c r="F412" s="12"/>
    </row>
    <row r="413" ht="15.75" customHeight="1">
      <c r="C413" s="18"/>
      <c r="F413" s="12"/>
    </row>
    <row r="414" ht="15.75" customHeight="1">
      <c r="C414" s="18"/>
      <c r="F414" s="12"/>
    </row>
    <row r="415" ht="15.75" customHeight="1">
      <c r="C415" s="18"/>
      <c r="F415" s="12"/>
    </row>
    <row r="416" ht="15.75" customHeight="1">
      <c r="C416" s="18"/>
      <c r="F416" s="12"/>
    </row>
    <row r="417" ht="15.75" customHeight="1">
      <c r="C417" s="18"/>
      <c r="F417" s="12"/>
    </row>
    <row r="418" ht="15.75" customHeight="1">
      <c r="C418" s="18"/>
      <c r="F418" s="12"/>
    </row>
    <row r="419" ht="15.75" customHeight="1">
      <c r="C419" s="18"/>
      <c r="F419" s="12"/>
    </row>
    <row r="420" ht="15.75" customHeight="1">
      <c r="C420" s="18"/>
      <c r="F420" s="12"/>
    </row>
    <row r="421" ht="15.75" customHeight="1">
      <c r="C421" s="18"/>
      <c r="F421" s="12"/>
    </row>
    <row r="422" ht="15.75" customHeight="1">
      <c r="C422" s="18"/>
      <c r="F422" s="12"/>
    </row>
    <row r="423" ht="15.75" customHeight="1">
      <c r="C423" s="18"/>
      <c r="F423" s="12"/>
    </row>
    <row r="424" ht="15.75" customHeight="1">
      <c r="C424" s="18"/>
      <c r="F424" s="12"/>
    </row>
    <row r="425" ht="15.75" customHeight="1">
      <c r="C425" s="18"/>
      <c r="F425" s="12"/>
    </row>
    <row r="426" ht="15.75" customHeight="1">
      <c r="C426" s="18"/>
      <c r="F426" s="12"/>
    </row>
    <row r="427" ht="15.75" customHeight="1">
      <c r="C427" s="18"/>
      <c r="F427" s="12"/>
    </row>
    <row r="428" ht="15.75" customHeight="1">
      <c r="C428" s="18"/>
      <c r="F428" s="12"/>
    </row>
    <row r="429" ht="15.75" customHeight="1">
      <c r="C429" s="18"/>
      <c r="F429" s="12"/>
    </row>
    <row r="430" ht="15.75" customHeight="1">
      <c r="C430" s="18"/>
      <c r="F430" s="12"/>
    </row>
    <row r="431" ht="15.75" customHeight="1">
      <c r="C431" s="18"/>
      <c r="F431" s="12"/>
    </row>
    <row r="432" ht="15.75" customHeight="1">
      <c r="C432" s="18"/>
      <c r="F432" s="12"/>
    </row>
    <row r="433" ht="15.75" customHeight="1">
      <c r="C433" s="18"/>
      <c r="F433" s="12"/>
    </row>
    <row r="434" ht="15.75" customHeight="1">
      <c r="C434" s="18"/>
      <c r="F434" s="12"/>
    </row>
    <row r="435" ht="15.75" customHeight="1">
      <c r="C435" s="18"/>
      <c r="F435" s="12"/>
    </row>
    <row r="436" ht="15.75" customHeight="1">
      <c r="C436" s="18"/>
      <c r="F436" s="12"/>
    </row>
    <row r="437" ht="15.75" customHeight="1">
      <c r="C437" s="18"/>
      <c r="F437" s="12"/>
    </row>
    <row r="438" ht="15.75" customHeight="1">
      <c r="C438" s="18"/>
      <c r="F438" s="12"/>
    </row>
    <row r="439" ht="15.75" customHeight="1">
      <c r="C439" s="18"/>
      <c r="F439" s="12"/>
    </row>
    <row r="440" ht="15.75" customHeight="1">
      <c r="C440" s="18"/>
      <c r="F440" s="12"/>
    </row>
    <row r="441" ht="15.75" customHeight="1">
      <c r="C441" s="18"/>
      <c r="F441" s="12"/>
    </row>
    <row r="442" ht="15.75" customHeight="1">
      <c r="C442" s="18"/>
      <c r="F442" s="12"/>
    </row>
    <row r="443" ht="15.75" customHeight="1">
      <c r="C443" s="18"/>
      <c r="F443" s="12"/>
    </row>
    <row r="444" ht="15.75" customHeight="1">
      <c r="C444" s="18"/>
      <c r="F444" s="12"/>
    </row>
    <row r="445" ht="15.75" customHeight="1">
      <c r="C445" s="18"/>
      <c r="F445" s="12"/>
    </row>
    <row r="446" ht="15.75" customHeight="1">
      <c r="C446" s="18"/>
      <c r="F446" s="12"/>
    </row>
    <row r="447" ht="15.75" customHeight="1">
      <c r="C447" s="18"/>
      <c r="F447" s="12"/>
    </row>
    <row r="448" ht="15.75" customHeight="1">
      <c r="C448" s="18"/>
      <c r="F448" s="12"/>
    </row>
    <row r="449" ht="15.75" customHeight="1">
      <c r="C449" s="18"/>
      <c r="F449" s="12"/>
    </row>
    <row r="450" ht="15.75" customHeight="1">
      <c r="C450" s="18"/>
      <c r="F450" s="12"/>
    </row>
    <row r="451" ht="15.75" customHeight="1">
      <c r="C451" s="18"/>
      <c r="F451" s="12"/>
    </row>
    <row r="452" ht="15.75" customHeight="1">
      <c r="C452" s="18"/>
      <c r="F452" s="12"/>
    </row>
    <row r="453" ht="15.75" customHeight="1">
      <c r="C453" s="18"/>
      <c r="F453" s="12"/>
    </row>
    <row r="454" ht="15.75" customHeight="1">
      <c r="C454" s="18"/>
      <c r="F454" s="12"/>
    </row>
    <row r="455" ht="15.75" customHeight="1">
      <c r="C455" s="18"/>
      <c r="F455" s="12"/>
    </row>
    <row r="456" ht="15.75" customHeight="1">
      <c r="C456" s="18"/>
      <c r="F456" s="12"/>
    </row>
    <row r="457" ht="15.75" customHeight="1">
      <c r="C457" s="18"/>
      <c r="F457" s="12"/>
    </row>
    <row r="458" ht="15.75" customHeight="1">
      <c r="C458" s="18"/>
      <c r="F458" s="12"/>
    </row>
    <row r="459" ht="15.75" customHeight="1">
      <c r="C459" s="18"/>
      <c r="F459" s="12"/>
    </row>
    <row r="460" ht="15.75" customHeight="1">
      <c r="C460" s="18"/>
      <c r="F460" s="12"/>
    </row>
    <row r="461" ht="15.75" customHeight="1">
      <c r="C461" s="18"/>
      <c r="F461" s="12"/>
    </row>
    <row r="462" ht="15.75" customHeight="1">
      <c r="C462" s="18"/>
      <c r="F462" s="12"/>
    </row>
    <row r="463" ht="15.75" customHeight="1">
      <c r="C463" s="18"/>
      <c r="F463" s="12"/>
    </row>
    <row r="464" ht="15.75" customHeight="1">
      <c r="C464" s="18"/>
      <c r="F464" s="12"/>
    </row>
    <row r="465" ht="15.75" customHeight="1">
      <c r="C465" s="18"/>
      <c r="F465" s="12"/>
    </row>
    <row r="466" ht="15.75" customHeight="1">
      <c r="C466" s="18"/>
      <c r="F466" s="12"/>
    </row>
    <row r="467" ht="15.75" customHeight="1">
      <c r="C467" s="18"/>
      <c r="F467" s="12"/>
    </row>
    <row r="468" ht="15.75" customHeight="1">
      <c r="C468" s="18"/>
      <c r="F468" s="12"/>
    </row>
    <row r="469" ht="15.75" customHeight="1">
      <c r="C469" s="18"/>
      <c r="F469" s="12"/>
    </row>
    <row r="470" ht="15.75" customHeight="1">
      <c r="C470" s="18"/>
      <c r="F470" s="12"/>
    </row>
    <row r="471" ht="15.75" customHeight="1">
      <c r="C471" s="18"/>
      <c r="F471" s="12"/>
    </row>
    <row r="472" ht="15.75" customHeight="1">
      <c r="C472" s="18"/>
      <c r="F472" s="12"/>
    </row>
    <row r="473" ht="15.75" customHeight="1">
      <c r="C473" s="18"/>
      <c r="F473" s="12"/>
    </row>
    <row r="474" ht="15.75" customHeight="1">
      <c r="C474" s="18"/>
      <c r="F474" s="12"/>
    </row>
    <row r="475" ht="15.75" customHeight="1">
      <c r="C475" s="18"/>
      <c r="F475" s="12"/>
    </row>
    <row r="476" ht="15.75" customHeight="1">
      <c r="C476" s="18"/>
      <c r="F476" s="12"/>
    </row>
    <row r="477" ht="15.75" customHeight="1">
      <c r="C477" s="18"/>
      <c r="F477" s="12"/>
    </row>
    <row r="478" ht="15.75" customHeight="1">
      <c r="C478" s="18"/>
      <c r="F478" s="12"/>
    </row>
    <row r="479" ht="15.75" customHeight="1">
      <c r="C479" s="18"/>
      <c r="F479" s="12"/>
    </row>
    <row r="480" ht="15.75" customHeight="1">
      <c r="C480" s="18"/>
      <c r="F480" s="12"/>
    </row>
    <row r="481" ht="15.75" customHeight="1">
      <c r="C481" s="18"/>
      <c r="F481" s="12"/>
    </row>
    <row r="482" ht="15.75" customHeight="1">
      <c r="C482" s="18"/>
      <c r="F482" s="12"/>
    </row>
    <row r="483" ht="15.75" customHeight="1">
      <c r="C483" s="18"/>
      <c r="F483" s="12"/>
    </row>
    <row r="484" ht="15.75" customHeight="1">
      <c r="C484" s="18"/>
      <c r="F484" s="12"/>
    </row>
    <row r="485" ht="15.75" customHeight="1">
      <c r="C485" s="18"/>
      <c r="F485" s="12"/>
    </row>
    <row r="486" ht="15.75" customHeight="1">
      <c r="C486" s="18"/>
      <c r="F486" s="12"/>
    </row>
    <row r="487" ht="15.75" customHeight="1">
      <c r="C487" s="18"/>
      <c r="F487" s="12"/>
    </row>
    <row r="488" ht="15.75" customHeight="1">
      <c r="C488" s="18"/>
      <c r="F488" s="12"/>
    </row>
    <row r="489" ht="15.75" customHeight="1">
      <c r="C489" s="18"/>
      <c r="F489" s="12"/>
    </row>
    <row r="490" ht="15.75" customHeight="1">
      <c r="C490" s="18"/>
      <c r="F490" s="12"/>
    </row>
    <row r="491" ht="15.75" customHeight="1">
      <c r="C491" s="18"/>
      <c r="F491" s="12"/>
    </row>
    <row r="492" ht="15.75" customHeight="1">
      <c r="C492" s="18"/>
      <c r="F492" s="12"/>
    </row>
    <row r="493" ht="15.75" customHeight="1">
      <c r="C493" s="18"/>
      <c r="F493" s="12"/>
    </row>
    <row r="494" ht="15.75" customHeight="1">
      <c r="C494" s="18"/>
      <c r="F494" s="12"/>
    </row>
    <row r="495" ht="15.75" customHeight="1">
      <c r="C495" s="18"/>
      <c r="F495" s="12"/>
    </row>
    <row r="496" ht="15.75" customHeight="1">
      <c r="C496" s="18"/>
      <c r="F496" s="12"/>
    </row>
    <row r="497" ht="15.75" customHeight="1">
      <c r="C497" s="18"/>
      <c r="F497" s="12"/>
    </row>
    <row r="498" ht="15.75" customHeight="1">
      <c r="C498" s="18"/>
      <c r="F498" s="12"/>
    </row>
    <row r="499" ht="15.75" customHeight="1">
      <c r="C499" s="18"/>
      <c r="F499" s="12"/>
    </row>
    <row r="500" ht="15.75" customHeight="1">
      <c r="C500" s="18"/>
      <c r="F500" s="12"/>
    </row>
    <row r="501" ht="15.75" customHeight="1">
      <c r="C501" s="18"/>
      <c r="F501" s="12"/>
    </row>
    <row r="502" ht="15.75" customHeight="1">
      <c r="C502" s="18"/>
      <c r="F502" s="12"/>
    </row>
    <row r="503" ht="15.75" customHeight="1">
      <c r="C503" s="18"/>
      <c r="F503" s="12"/>
    </row>
    <row r="504" ht="15.75" customHeight="1">
      <c r="C504" s="18"/>
      <c r="F504" s="12"/>
    </row>
    <row r="505" ht="15.75" customHeight="1">
      <c r="C505" s="18"/>
      <c r="F505" s="12"/>
    </row>
    <row r="506" ht="15.75" customHeight="1">
      <c r="C506" s="18"/>
      <c r="F506" s="12"/>
    </row>
    <row r="507" ht="15.75" customHeight="1">
      <c r="C507" s="18"/>
      <c r="F507" s="12"/>
    </row>
    <row r="508" ht="15.75" customHeight="1">
      <c r="C508" s="18"/>
      <c r="F508" s="12"/>
    </row>
    <row r="509" ht="15.75" customHeight="1">
      <c r="C509" s="18"/>
      <c r="F509" s="12"/>
    </row>
    <row r="510" ht="15.75" customHeight="1">
      <c r="C510" s="18"/>
      <c r="F510" s="12"/>
    </row>
    <row r="511" ht="15.75" customHeight="1">
      <c r="C511" s="18"/>
      <c r="F511" s="12"/>
    </row>
    <row r="512" ht="15.75" customHeight="1">
      <c r="C512" s="18"/>
      <c r="F512" s="12"/>
    </row>
    <row r="513" ht="15.75" customHeight="1">
      <c r="C513" s="18"/>
      <c r="F513" s="12"/>
    </row>
    <row r="514" ht="15.75" customHeight="1">
      <c r="C514" s="18"/>
      <c r="F514" s="12"/>
    </row>
    <row r="515" ht="15.75" customHeight="1">
      <c r="C515" s="18"/>
      <c r="F515" s="12"/>
    </row>
    <row r="516" ht="15.75" customHeight="1">
      <c r="C516" s="18"/>
      <c r="F516" s="12"/>
    </row>
    <row r="517" ht="15.75" customHeight="1">
      <c r="C517" s="18"/>
      <c r="F517" s="12"/>
    </row>
    <row r="518" ht="15.75" customHeight="1">
      <c r="C518" s="18"/>
      <c r="F518" s="12"/>
    </row>
    <row r="519" ht="15.75" customHeight="1">
      <c r="C519" s="18"/>
      <c r="F519" s="12"/>
    </row>
    <row r="520" ht="15.75" customHeight="1">
      <c r="C520" s="18"/>
      <c r="F520" s="12"/>
    </row>
    <row r="521" ht="15.75" customHeight="1">
      <c r="C521" s="18"/>
      <c r="F521" s="12"/>
    </row>
    <row r="522" ht="15.75" customHeight="1">
      <c r="C522" s="18"/>
      <c r="F522" s="12"/>
    </row>
    <row r="523" ht="15.75" customHeight="1">
      <c r="C523" s="18"/>
      <c r="F523" s="12"/>
    </row>
    <row r="524" ht="15.75" customHeight="1">
      <c r="C524" s="18"/>
      <c r="F524" s="12"/>
    </row>
    <row r="525" ht="15.75" customHeight="1">
      <c r="C525" s="18"/>
      <c r="F525" s="12"/>
    </row>
    <row r="526" ht="15.75" customHeight="1">
      <c r="C526" s="18"/>
      <c r="F526" s="12"/>
    </row>
    <row r="527" ht="15.75" customHeight="1">
      <c r="C527" s="18"/>
      <c r="F527" s="12"/>
    </row>
    <row r="528" ht="15.75" customHeight="1">
      <c r="C528" s="18"/>
      <c r="F528" s="12"/>
    </row>
    <row r="529" ht="15.75" customHeight="1">
      <c r="C529" s="18"/>
      <c r="F529" s="12"/>
    </row>
    <row r="530" ht="15.75" customHeight="1">
      <c r="C530" s="18"/>
      <c r="F530" s="12"/>
    </row>
    <row r="531" ht="15.75" customHeight="1">
      <c r="C531" s="18"/>
      <c r="F531" s="12"/>
    </row>
    <row r="532" ht="15.75" customHeight="1">
      <c r="C532" s="18"/>
      <c r="F532" s="12"/>
    </row>
    <row r="533" ht="15.75" customHeight="1">
      <c r="C533" s="18"/>
      <c r="F533" s="12"/>
    </row>
    <row r="534" ht="15.75" customHeight="1">
      <c r="C534" s="18"/>
      <c r="F534" s="12"/>
    </row>
    <row r="535" ht="15.75" customHeight="1">
      <c r="C535" s="18"/>
      <c r="F535" s="12"/>
    </row>
    <row r="536" ht="15.75" customHeight="1">
      <c r="C536" s="18"/>
      <c r="F536" s="12"/>
    </row>
    <row r="537" ht="15.75" customHeight="1">
      <c r="C537" s="18"/>
      <c r="F537" s="12"/>
    </row>
    <row r="538" ht="15.75" customHeight="1">
      <c r="C538" s="18"/>
      <c r="F538" s="12"/>
    </row>
    <row r="539" ht="15.75" customHeight="1">
      <c r="C539" s="18"/>
      <c r="F539" s="12"/>
    </row>
    <row r="540" ht="15.75" customHeight="1">
      <c r="C540" s="18"/>
      <c r="F540" s="12"/>
    </row>
    <row r="541" ht="15.75" customHeight="1">
      <c r="C541" s="18"/>
      <c r="F541" s="12"/>
    </row>
    <row r="542" ht="15.75" customHeight="1">
      <c r="C542" s="18"/>
      <c r="F542" s="12"/>
    </row>
    <row r="543" ht="15.75" customHeight="1">
      <c r="C543" s="18"/>
      <c r="F543" s="12"/>
    </row>
    <row r="544" ht="15.75" customHeight="1">
      <c r="C544" s="18"/>
      <c r="F544" s="12"/>
    </row>
    <row r="545" ht="15.75" customHeight="1">
      <c r="C545" s="18"/>
      <c r="F545" s="12"/>
    </row>
    <row r="546" ht="15.75" customHeight="1">
      <c r="C546" s="18"/>
      <c r="F546" s="12"/>
    </row>
    <row r="547" ht="15.75" customHeight="1">
      <c r="C547" s="18"/>
      <c r="F547" s="12"/>
    </row>
    <row r="548" ht="15.75" customHeight="1">
      <c r="C548" s="18"/>
      <c r="F548" s="12"/>
    </row>
    <row r="549" ht="15.75" customHeight="1">
      <c r="C549" s="18"/>
      <c r="F549" s="12"/>
    </row>
    <row r="550" ht="15.75" customHeight="1">
      <c r="C550" s="18"/>
      <c r="F550" s="12"/>
    </row>
    <row r="551" ht="15.75" customHeight="1">
      <c r="C551" s="18"/>
      <c r="F551" s="12"/>
    </row>
    <row r="552" ht="15.75" customHeight="1">
      <c r="C552" s="18"/>
      <c r="F552" s="12"/>
    </row>
    <row r="553" ht="15.75" customHeight="1">
      <c r="C553" s="18"/>
      <c r="F553" s="12"/>
    </row>
    <row r="554" ht="15.75" customHeight="1">
      <c r="C554" s="18"/>
      <c r="F554" s="12"/>
    </row>
    <row r="555" ht="15.75" customHeight="1">
      <c r="C555" s="18"/>
      <c r="F555" s="12"/>
    </row>
    <row r="556" ht="15.75" customHeight="1">
      <c r="C556" s="18"/>
      <c r="F556" s="12"/>
    </row>
    <row r="557" ht="15.75" customHeight="1">
      <c r="C557" s="18"/>
      <c r="F557" s="12"/>
    </row>
    <row r="558" ht="15.75" customHeight="1">
      <c r="C558" s="18"/>
      <c r="F558" s="12"/>
    </row>
    <row r="559" ht="15.75" customHeight="1">
      <c r="C559" s="18"/>
      <c r="F559" s="12"/>
    </row>
    <row r="560" ht="15.75" customHeight="1">
      <c r="C560" s="18"/>
      <c r="F560" s="12"/>
    </row>
    <row r="561" ht="15.75" customHeight="1">
      <c r="C561" s="18"/>
      <c r="F561" s="12"/>
    </row>
    <row r="562" ht="15.75" customHeight="1">
      <c r="C562" s="18"/>
      <c r="F562" s="12"/>
    </row>
    <row r="563" ht="15.75" customHeight="1">
      <c r="C563" s="18"/>
      <c r="F563" s="12"/>
    </row>
    <row r="564" ht="15.75" customHeight="1">
      <c r="C564" s="18"/>
      <c r="F564" s="12"/>
    </row>
    <row r="565" ht="15.75" customHeight="1">
      <c r="C565" s="18"/>
      <c r="F565" s="12"/>
    </row>
    <row r="566" ht="15.75" customHeight="1">
      <c r="C566" s="18"/>
      <c r="F566" s="12"/>
    </row>
    <row r="567" ht="15.75" customHeight="1">
      <c r="C567" s="18"/>
      <c r="F567" s="12"/>
    </row>
    <row r="568" ht="15.75" customHeight="1">
      <c r="C568" s="18"/>
      <c r="F568" s="12"/>
    </row>
    <row r="569" ht="15.75" customHeight="1">
      <c r="C569" s="18"/>
      <c r="F569" s="12"/>
    </row>
    <row r="570" ht="15.75" customHeight="1">
      <c r="C570" s="18"/>
      <c r="F570" s="12"/>
    </row>
    <row r="571" ht="15.75" customHeight="1">
      <c r="C571" s="18"/>
      <c r="F571" s="12"/>
    </row>
    <row r="572" ht="15.75" customHeight="1">
      <c r="C572" s="18"/>
      <c r="F572" s="12"/>
    </row>
    <row r="573" ht="15.75" customHeight="1">
      <c r="C573" s="18"/>
      <c r="F573" s="12"/>
    </row>
    <row r="574" ht="15.75" customHeight="1">
      <c r="C574" s="18"/>
      <c r="F574" s="12"/>
    </row>
    <row r="575" ht="15.75" customHeight="1">
      <c r="C575" s="18"/>
      <c r="F575" s="12"/>
    </row>
    <row r="576" ht="15.75" customHeight="1">
      <c r="C576" s="18"/>
      <c r="F576" s="12"/>
    </row>
    <row r="577" ht="15.75" customHeight="1">
      <c r="C577" s="18"/>
      <c r="F577" s="12"/>
    </row>
    <row r="578" ht="15.75" customHeight="1">
      <c r="C578" s="18"/>
      <c r="F578" s="12"/>
    </row>
    <row r="579" ht="15.75" customHeight="1">
      <c r="C579" s="18"/>
      <c r="F579" s="12"/>
    </row>
    <row r="580" ht="15.75" customHeight="1">
      <c r="C580" s="18"/>
      <c r="F580" s="12"/>
    </row>
    <row r="581" ht="15.75" customHeight="1">
      <c r="C581" s="18"/>
      <c r="F581" s="12"/>
    </row>
    <row r="582" ht="15.75" customHeight="1">
      <c r="C582" s="18"/>
      <c r="F582" s="12"/>
    </row>
    <row r="583" ht="15.75" customHeight="1">
      <c r="C583" s="18"/>
      <c r="F583" s="12"/>
    </row>
    <row r="584" ht="15.75" customHeight="1">
      <c r="C584" s="18"/>
      <c r="F584" s="12"/>
    </row>
    <row r="585" ht="15.75" customHeight="1">
      <c r="C585" s="18"/>
      <c r="F585" s="12"/>
    </row>
    <row r="586" ht="15.75" customHeight="1">
      <c r="C586" s="18"/>
      <c r="F586" s="12"/>
    </row>
    <row r="587" ht="15.75" customHeight="1">
      <c r="C587" s="18"/>
      <c r="F587" s="12"/>
    </row>
    <row r="588" ht="15.75" customHeight="1">
      <c r="C588" s="18"/>
      <c r="F588" s="12"/>
    </row>
    <row r="589" ht="15.75" customHeight="1">
      <c r="C589" s="18"/>
      <c r="F589" s="12"/>
    </row>
    <row r="590" ht="15.75" customHeight="1">
      <c r="C590" s="18"/>
      <c r="F590" s="12"/>
    </row>
    <row r="591" ht="15.75" customHeight="1">
      <c r="C591" s="18"/>
      <c r="F591" s="12"/>
    </row>
    <row r="592" ht="15.75" customHeight="1">
      <c r="C592" s="18"/>
      <c r="F592" s="12"/>
    </row>
    <row r="593" ht="15.75" customHeight="1">
      <c r="C593" s="18"/>
      <c r="F593" s="12"/>
    </row>
    <row r="594" ht="15.75" customHeight="1">
      <c r="C594" s="18"/>
      <c r="F594" s="12"/>
    </row>
    <row r="595" ht="15.75" customHeight="1">
      <c r="C595" s="18"/>
      <c r="F595" s="12"/>
    </row>
    <row r="596" ht="15.75" customHeight="1">
      <c r="C596" s="18"/>
      <c r="F596" s="12"/>
    </row>
    <row r="597" ht="15.75" customHeight="1">
      <c r="C597" s="18"/>
      <c r="F597" s="12"/>
    </row>
    <row r="598" ht="15.75" customHeight="1">
      <c r="C598" s="18"/>
      <c r="F598" s="12"/>
    </row>
    <row r="599" ht="15.75" customHeight="1">
      <c r="C599" s="18"/>
      <c r="F599" s="12"/>
    </row>
    <row r="600" ht="15.75" customHeight="1">
      <c r="C600" s="18"/>
      <c r="F600" s="12"/>
    </row>
    <row r="601" ht="15.75" customHeight="1">
      <c r="C601" s="18"/>
      <c r="F601" s="12"/>
    </row>
    <row r="602" ht="15.75" customHeight="1">
      <c r="C602" s="18"/>
      <c r="F602" s="12"/>
    </row>
    <row r="603" ht="15.75" customHeight="1">
      <c r="C603" s="18"/>
      <c r="F603" s="12"/>
    </row>
    <row r="604" ht="15.75" customHeight="1">
      <c r="C604" s="18"/>
      <c r="F604" s="12"/>
    </row>
    <row r="605" ht="15.75" customHeight="1">
      <c r="C605" s="18"/>
      <c r="F605" s="12"/>
    </row>
    <row r="606" ht="15.75" customHeight="1">
      <c r="C606" s="18"/>
      <c r="F606" s="12"/>
    </row>
    <row r="607" ht="15.75" customHeight="1">
      <c r="C607" s="18"/>
      <c r="F607" s="12"/>
    </row>
    <row r="608" ht="15.75" customHeight="1">
      <c r="C608" s="18"/>
      <c r="F608" s="12"/>
    </row>
    <row r="609" ht="15.75" customHeight="1">
      <c r="C609" s="18"/>
      <c r="F609" s="12"/>
    </row>
    <row r="610" ht="15.75" customHeight="1">
      <c r="C610" s="18"/>
      <c r="F610" s="12"/>
    </row>
    <row r="611" ht="15.75" customHeight="1">
      <c r="C611" s="18"/>
      <c r="F611" s="12"/>
    </row>
    <row r="612" ht="15.75" customHeight="1">
      <c r="C612" s="18"/>
      <c r="F612" s="12"/>
    </row>
    <row r="613" ht="15.75" customHeight="1">
      <c r="C613" s="18"/>
      <c r="F613" s="12"/>
    </row>
    <row r="614" ht="15.75" customHeight="1">
      <c r="C614" s="18"/>
      <c r="F614" s="12"/>
    </row>
    <row r="615" ht="15.75" customHeight="1">
      <c r="C615" s="18"/>
      <c r="F615" s="12"/>
    </row>
    <row r="616" ht="15.75" customHeight="1">
      <c r="C616" s="18"/>
      <c r="F616" s="12"/>
    </row>
    <row r="617" ht="15.75" customHeight="1">
      <c r="C617" s="18"/>
      <c r="F617" s="12"/>
    </row>
    <row r="618" ht="15.75" customHeight="1">
      <c r="C618" s="18"/>
      <c r="F618" s="12"/>
    </row>
    <row r="619" ht="15.75" customHeight="1">
      <c r="C619" s="18"/>
      <c r="F619" s="12"/>
    </row>
    <row r="620" ht="15.75" customHeight="1">
      <c r="C620" s="18"/>
      <c r="F620" s="12"/>
    </row>
    <row r="621" ht="15.75" customHeight="1">
      <c r="C621" s="18"/>
      <c r="F621" s="12"/>
    </row>
    <row r="622" ht="15.75" customHeight="1">
      <c r="C622" s="18"/>
      <c r="F622" s="12"/>
    </row>
    <row r="623" ht="15.75" customHeight="1">
      <c r="C623" s="18"/>
      <c r="F623" s="12"/>
    </row>
    <row r="624" ht="15.75" customHeight="1">
      <c r="C624" s="18"/>
      <c r="F624" s="12"/>
    </row>
    <row r="625" ht="15.75" customHeight="1">
      <c r="C625" s="18"/>
      <c r="F625" s="12"/>
    </row>
    <row r="626" ht="15.75" customHeight="1">
      <c r="C626" s="18"/>
      <c r="F626" s="12"/>
    </row>
    <row r="627" ht="15.75" customHeight="1">
      <c r="C627" s="18"/>
      <c r="F627" s="12"/>
    </row>
    <row r="628" ht="15.75" customHeight="1">
      <c r="C628" s="18"/>
      <c r="F628" s="12"/>
    </row>
    <row r="629" ht="15.75" customHeight="1">
      <c r="C629" s="18"/>
      <c r="F629" s="12"/>
    </row>
    <row r="630" ht="15.75" customHeight="1">
      <c r="C630" s="18"/>
      <c r="F630" s="12"/>
    </row>
    <row r="631" ht="15.75" customHeight="1">
      <c r="C631" s="18"/>
      <c r="F631" s="12"/>
    </row>
    <row r="632" ht="15.75" customHeight="1">
      <c r="C632" s="18"/>
      <c r="F632" s="12"/>
    </row>
    <row r="633" ht="15.75" customHeight="1">
      <c r="C633" s="18"/>
      <c r="F633" s="12"/>
    </row>
    <row r="634" ht="15.75" customHeight="1">
      <c r="C634" s="18"/>
      <c r="F634" s="12"/>
    </row>
    <row r="635" ht="15.75" customHeight="1">
      <c r="C635" s="18"/>
      <c r="F635" s="12"/>
    </row>
    <row r="636" ht="15.75" customHeight="1">
      <c r="C636" s="18"/>
      <c r="F636" s="12"/>
    </row>
    <row r="637" ht="15.75" customHeight="1">
      <c r="C637" s="18"/>
      <c r="F637" s="12"/>
    </row>
    <row r="638" ht="15.75" customHeight="1">
      <c r="C638" s="18"/>
      <c r="F638" s="12"/>
    </row>
    <row r="639" ht="15.75" customHeight="1">
      <c r="C639" s="18"/>
      <c r="F639" s="12"/>
    </row>
    <row r="640" ht="15.75" customHeight="1">
      <c r="C640" s="18"/>
      <c r="F640" s="12"/>
    </row>
    <row r="641" ht="15.75" customHeight="1">
      <c r="C641" s="18"/>
      <c r="F641" s="12"/>
    </row>
    <row r="642" ht="15.75" customHeight="1">
      <c r="C642" s="18"/>
      <c r="F642" s="12"/>
    </row>
    <row r="643" ht="15.75" customHeight="1">
      <c r="C643" s="18"/>
      <c r="F643" s="12"/>
    </row>
    <row r="644" ht="15.75" customHeight="1">
      <c r="C644" s="18"/>
      <c r="F644" s="12"/>
    </row>
    <row r="645" ht="15.75" customHeight="1">
      <c r="C645" s="18"/>
      <c r="F645" s="12"/>
    </row>
    <row r="646" ht="15.75" customHeight="1">
      <c r="C646" s="18"/>
      <c r="F646" s="12"/>
    </row>
    <row r="647" ht="15.75" customHeight="1">
      <c r="C647" s="18"/>
      <c r="F647" s="12"/>
    </row>
    <row r="648" ht="15.75" customHeight="1">
      <c r="C648" s="18"/>
      <c r="F648" s="12"/>
    </row>
    <row r="649" ht="15.75" customHeight="1">
      <c r="C649" s="18"/>
      <c r="F649" s="12"/>
    </row>
    <row r="650" ht="15.75" customHeight="1">
      <c r="C650" s="18"/>
      <c r="F650" s="12"/>
    </row>
    <row r="651" ht="15.75" customHeight="1">
      <c r="C651" s="18"/>
      <c r="F651" s="12"/>
    </row>
    <row r="652" ht="15.75" customHeight="1">
      <c r="C652" s="18"/>
      <c r="F652" s="12"/>
    </row>
    <row r="653" ht="15.75" customHeight="1">
      <c r="C653" s="18"/>
      <c r="F653" s="12"/>
    </row>
    <row r="654" ht="15.75" customHeight="1">
      <c r="C654" s="18"/>
      <c r="F654" s="12"/>
    </row>
    <row r="655" ht="15.75" customHeight="1">
      <c r="C655" s="18"/>
      <c r="F655" s="12"/>
    </row>
    <row r="656" ht="15.75" customHeight="1">
      <c r="C656" s="18"/>
      <c r="F656" s="12"/>
    </row>
    <row r="657" ht="15.75" customHeight="1">
      <c r="C657" s="18"/>
      <c r="F657" s="12"/>
    </row>
    <row r="658" ht="15.75" customHeight="1">
      <c r="C658" s="18"/>
      <c r="F658" s="12"/>
    </row>
    <row r="659" ht="15.75" customHeight="1">
      <c r="C659" s="18"/>
      <c r="F659" s="12"/>
    </row>
    <row r="660" ht="15.75" customHeight="1">
      <c r="C660" s="18"/>
      <c r="F660" s="12"/>
    </row>
    <row r="661" ht="15.75" customHeight="1">
      <c r="C661" s="18"/>
      <c r="F661" s="12"/>
    </row>
    <row r="662" ht="15.75" customHeight="1">
      <c r="C662" s="18"/>
      <c r="F662" s="12"/>
    </row>
    <row r="663" ht="15.75" customHeight="1">
      <c r="C663" s="18"/>
      <c r="F663" s="12"/>
    </row>
    <row r="664" ht="15.75" customHeight="1">
      <c r="C664" s="18"/>
      <c r="F664" s="12"/>
    </row>
    <row r="665" ht="15.75" customHeight="1">
      <c r="C665" s="18"/>
      <c r="F665" s="12"/>
    </row>
    <row r="666" ht="15.75" customHeight="1">
      <c r="C666" s="18"/>
      <c r="F666" s="12"/>
    </row>
    <row r="667" ht="15.75" customHeight="1">
      <c r="C667" s="18"/>
      <c r="F667" s="12"/>
    </row>
    <row r="668" ht="15.75" customHeight="1">
      <c r="C668" s="18"/>
      <c r="F668" s="12"/>
    </row>
    <row r="669" ht="15.75" customHeight="1">
      <c r="C669" s="18"/>
      <c r="F669" s="12"/>
    </row>
    <row r="670" ht="15.75" customHeight="1">
      <c r="C670" s="18"/>
      <c r="F670" s="12"/>
    </row>
    <row r="671" ht="15.75" customHeight="1">
      <c r="C671" s="18"/>
      <c r="F671" s="12"/>
    </row>
    <row r="672" ht="15.75" customHeight="1">
      <c r="C672" s="18"/>
      <c r="F672" s="12"/>
    </row>
    <row r="673" ht="15.75" customHeight="1">
      <c r="C673" s="18"/>
      <c r="F673" s="12"/>
    </row>
    <row r="674" ht="15.75" customHeight="1">
      <c r="C674" s="18"/>
      <c r="F674" s="12"/>
    </row>
    <row r="675" ht="15.75" customHeight="1">
      <c r="C675" s="18"/>
      <c r="F675" s="12"/>
    </row>
    <row r="676" ht="15.75" customHeight="1">
      <c r="C676" s="18"/>
      <c r="F676" s="12"/>
    </row>
    <row r="677" ht="15.75" customHeight="1">
      <c r="C677" s="18"/>
      <c r="F677" s="12"/>
    </row>
    <row r="678" ht="15.75" customHeight="1">
      <c r="C678" s="18"/>
      <c r="F678" s="12"/>
    </row>
    <row r="679" ht="15.75" customHeight="1">
      <c r="C679" s="18"/>
      <c r="F679" s="12"/>
    </row>
    <row r="680" ht="15.75" customHeight="1">
      <c r="C680" s="18"/>
      <c r="F680" s="12"/>
    </row>
    <row r="681" ht="15.75" customHeight="1">
      <c r="C681" s="18"/>
      <c r="F681" s="12"/>
    </row>
    <row r="682" ht="15.75" customHeight="1">
      <c r="C682" s="18"/>
      <c r="F682" s="12"/>
    </row>
    <row r="683" ht="15.75" customHeight="1">
      <c r="C683" s="18"/>
      <c r="F683" s="12"/>
    </row>
    <row r="684" ht="15.75" customHeight="1">
      <c r="C684" s="18"/>
      <c r="F684" s="12"/>
    </row>
    <row r="685" ht="15.75" customHeight="1">
      <c r="C685" s="18"/>
      <c r="F685" s="12"/>
    </row>
    <row r="686" ht="15.75" customHeight="1">
      <c r="C686" s="18"/>
      <c r="F686" s="12"/>
    </row>
    <row r="687" ht="15.75" customHeight="1">
      <c r="C687" s="18"/>
      <c r="F687" s="12"/>
    </row>
    <row r="688" ht="15.75" customHeight="1">
      <c r="C688" s="18"/>
      <c r="F688" s="12"/>
    </row>
    <row r="689" ht="15.75" customHeight="1">
      <c r="C689" s="18"/>
      <c r="F689" s="12"/>
    </row>
    <row r="690" ht="15.75" customHeight="1">
      <c r="C690" s="18"/>
      <c r="F690" s="12"/>
    </row>
    <row r="691" ht="15.75" customHeight="1">
      <c r="C691" s="18"/>
      <c r="F691" s="12"/>
    </row>
    <row r="692" ht="15.75" customHeight="1">
      <c r="C692" s="18"/>
      <c r="F692" s="12"/>
    </row>
    <row r="693" ht="15.75" customHeight="1">
      <c r="C693" s="18"/>
      <c r="F693" s="12"/>
    </row>
    <row r="694" ht="15.75" customHeight="1">
      <c r="C694" s="18"/>
      <c r="F694" s="12"/>
    </row>
    <row r="695" ht="15.75" customHeight="1">
      <c r="C695" s="18"/>
      <c r="F695" s="12"/>
    </row>
    <row r="696" ht="15.75" customHeight="1">
      <c r="C696" s="18"/>
      <c r="F696" s="12"/>
    </row>
    <row r="697" ht="15.75" customHeight="1">
      <c r="C697" s="18"/>
      <c r="F697" s="12"/>
    </row>
    <row r="698" ht="15.75" customHeight="1">
      <c r="C698" s="18"/>
      <c r="F698" s="12"/>
    </row>
    <row r="699" ht="15.75" customHeight="1">
      <c r="C699" s="18"/>
      <c r="F699" s="12"/>
    </row>
    <row r="700" ht="15.75" customHeight="1">
      <c r="C700" s="18"/>
      <c r="F700" s="12"/>
    </row>
    <row r="701" ht="15.75" customHeight="1">
      <c r="C701" s="18"/>
      <c r="F701" s="12"/>
    </row>
    <row r="702" ht="15.75" customHeight="1">
      <c r="C702" s="18"/>
      <c r="F702" s="12"/>
    </row>
    <row r="703" ht="15.75" customHeight="1">
      <c r="C703" s="18"/>
      <c r="F703" s="12"/>
    </row>
    <row r="704" ht="15.75" customHeight="1">
      <c r="C704" s="18"/>
      <c r="F704" s="12"/>
    </row>
    <row r="705" ht="15.75" customHeight="1">
      <c r="C705" s="18"/>
      <c r="F705" s="12"/>
    </row>
    <row r="706" ht="15.75" customHeight="1">
      <c r="C706" s="18"/>
      <c r="F706" s="12"/>
    </row>
    <row r="707" ht="15.75" customHeight="1">
      <c r="C707" s="18"/>
      <c r="F707" s="12"/>
    </row>
    <row r="708" ht="15.75" customHeight="1">
      <c r="C708" s="18"/>
      <c r="F708" s="12"/>
    </row>
    <row r="709" ht="15.75" customHeight="1">
      <c r="C709" s="18"/>
      <c r="F709" s="12"/>
    </row>
    <row r="710" ht="15.75" customHeight="1">
      <c r="C710" s="18"/>
      <c r="F710" s="12"/>
    </row>
    <row r="711" ht="15.75" customHeight="1">
      <c r="C711" s="18"/>
      <c r="F711" s="12"/>
    </row>
    <row r="712" ht="15.75" customHeight="1">
      <c r="C712" s="18"/>
      <c r="F712" s="12"/>
    </row>
    <row r="713" ht="15.75" customHeight="1">
      <c r="C713" s="18"/>
      <c r="F713" s="12"/>
    </row>
    <row r="714" ht="15.75" customHeight="1">
      <c r="C714" s="18"/>
      <c r="F714" s="12"/>
    </row>
    <row r="715" ht="15.75" customHeight="1">
      <c r="C715" s="18"/>
      <c r="F715" s="12"/>
    </row>
    <row r="716" ht="15.75" customHeight="1">
      <c r="C716" s="18"/>
      <c r="F716" s="12"/>
    </row>
    <row r="717" ht="15.75" customHeight="1">
      <c r="C717" s="18"/>
      <c r="F717" s="12"/>
    </row>
    <row r="718" ht="15.75" customHeight="1">
      <c r="C718" s="18"/>
      <c r="F718" s="12"/>
    </row>
    <row r="719" ht="15.75" customHeight="1">
      <c r="C719" s="18"/>
      <c r="F719" s="12"/>
    </row>
    <row r="720" ht="15.75" customHeight="1">
      <c r="C720" s="18"/>
      <c r="F720" s="12"/>
    </row>
    <row r="721" ht="15.75" customHeight="1">
      <c r="C721" s="18"/>
      <c r="F721" s="12"/>
    </row>
    <row r="722" ht="15.75" customHeight="1">
      <c r="C722" s="18"/>
      <c r="F722" s="12"/>
    </row>
    <row r="723" ht="15.75" customHeight="1">
      <c r="C723" s="18"/>
      <c r="F723" s="12"/>
    </row>
    <row r="724" ht="15.75" customHeight="1">
      <c r="C724" s="18"/>
      <c r="F724" s="12"/>
    </row>
    <row r="725" ht="15.75" customHeight="1">
      <c r="C725" s="18"/>
      <c r="F725" s="12"/>
    </row>
    <row r="726" ht="15.75" customHeight="1">
      <c r="C726" s="18"/>
      <c r="F726" s="12"/>
    </row>
    <row r="727" ht="15.75" customHeight="1">
      <c r="C727" s="18"/>
      <c r="F727" s="12"/>
    </row>
    <row r="728" ht="15.75" customHeight="1">
      <c r="C728" s="18"/>
      <c r="F728" s="12"/>
    </row>
    <row r="729" ht="15.75" customHeight="1">
      <c r="C729" s="18"/>
      <c r="F729" s="12"/>
    </row>
    <row r="730" ht="15.75" customHeight="1">
      <c r="C730" s="18"/>
      <c r="F730" s="12"/>
    </row>
    <row r="731" ht="15.75" customHeight="1">
      <c r="C731" s="18"/>
      <c r="F731" s="12"/>
    </row>
    <row r="732" ht="15.75" customHeight="1">
      <c r="C732" s="18"/>
      <c r="F732" s="12"/>
    </row>
    <row r="733" ht="15.75" customHeight="1">
      <c r="C733" s="18"/>
      <c r="F733" s="12"/>
    </row>
    <row r="734" ht="15.75" customHeight="1">
      <c r="C734" s="18"/>
      <c r="F734" s="12"/>
    </row>
    <row r="735" ht="15.75" customHeight="1">
      <c r="C735" s="18"/>
      <c r="F735" s="12"/>
    </row>
    <row r="736" ht="15.75" customHeight="1">
      <c r="C736" s="18"/>
      <c r="F736" s="12"/>
    </row>
    <row r="737" ht="15.75" customHeight="1">
      <c r="C737" s="18"/>
      <c r="F737" s="12"/>
    </row>
    <row r="738" ht="15.75" customHeight="1">
      <c r="C738" s="18"/>
      <c r="F738" s="12"/>
    </row>
    <row r="739" ht="15.75" customHeight="1">
      <c r="C739" s="18"/>
      <c r="F739" s="12"/>
    </row>
    <row r="740" ht="15.75" customHeight="1">
      <c r="C740" s="18"/>
      <c r="F740" s="12"/>
    </row>
    <row r="741" ht="15.75" customHeight="1">
      <c r="C741" s="18"/>
      <c r="F741" s="12"/>
    </row>
    <row r="742" ht="15.75" customHeight="1">
      <c r="C742" s="18"/>
      <c r="F742" s="12"/>
    </row>
    <row r="743" ht="15.75" customHeight="1">
      <c r="C743" s="18"/>
      <c r="F743" s="12"/>
    </row>
    <row r="744" ht="15.75" customHeight="1">
      <c r="C744" s="18"/>
      <c r="F744" s="12"/>
    </row>
    <row r="745" ht="15.75" customHeight="1">
      <c r="C745" s="18"/>
      <c r="F745" s="12"/>
    </row>
    <row r="746" ht="15.75" customHeight="1">
      <c r="C746" s="18"/>
      <c r="F746" s="12"/>
    </row>
    <row r="747" ht="15.75" customHeight="1">
      <c r="C747" s="18"/>
      <c r="F747" s="12"/>
    </row>
    <row r="748" ht="15.75" customHeight="1">
      <c r="C748" s="18"/>
      <c r="F748" s="12"/>
    </row>
    <row r="749" ht="15.75" customHeight="1">
      <c r="C749" s="18"/>
      <c r="F749" s="12"/>
    </row>
    <row r="750" ht="15.75" customHeight="1">
      <c r="C750" s="18"/>
      <c r="F750" s="12"/>
    </row>
    <row r="751" ht="15.75" customHeight="1">
      <c r="C751" s="18"/>
      <c r="F751" s="12"/>
    </row>
    <row r="752" ht="15.75" customHeight="1">
      <c r="C752" s="18"/>
      <c r="F752" s="12"/>
    </row>
    <row r="753" ht="15.75" customHeight="1">
      <c r="C753" s="18"/>
      <c r="F753" s="12"/>
    </row>
    <row r="754" ht="15.75" customHeight="1">
      <c r="C754" s="18"/>
      <c r="F754" s="12"/>
    </row>
    <row r="755" ht="15.75" customHeight="1">
      <c r="C755" s="18"/>
      <c r="F755" s="12"/>
    </row>
    <row r="756" ht="15.75" customHeight="1">
      <c r="C756" s="18"/>
      <c r="F756" s="12"/>
    </row>
    <row r="757" ht="15.75" customHeight="1">
      <c r="C757" s="18"/>
      <c r="F757" s="12"/>
    </row>
    <row r="758" ht="15.75" customHeight="1">
      <c r="C758" s="18"/>
      <c r="F758" s="12"/>
    </row>
    <row r="759" ht="15.75" customHeight="1">
      <c r="C759" s="18"/>
      <c r="F759" s="12"/>
    </row>
    <row r="760" ht="15.75" customHeight="1">
      <c r="C760" s="18"/>
      <c r="F760" s="12"/>
    </row>
    <row r="761" ht="15.75" customHeight="1">
      <c r="C761" s="18"/>
      <c r="F761" s="12"/>
    </row>
    <row r="762" ht="15.75" customHeight="1">
      <c r="C762" s="18"/>
      <c r="F762" s="12"/>
    </row>
    <row r="763" ht="15.75" customHeight="1">
      <c r="C763" s="18"/>
      <c r="F763" s="12"/>
    </row>
    <row r="764" ht="15.75" customHeight="1">
      <c r="C764" s="18"/>
      <c r="F764" s="12"/>
    </row>
    <row r="765" ht="15.75" customHeight="1">
      <c r="C765" s="18"/>
      <c r="F765" s="12"/>
    </row>
    <row r="766" ht="15.75" customHeight="1">
      <c r="C766" s="18"/>
      <c r="F766" s="12"/>
    </row>
    <row r="767" ht="15.75" customHeight="1">
      <c r="C767" s="18"/>
      <c r="F767" s="12"/>
    </row>
    <row r="768" ht="15.75" customHeight="1">
      <c r="C768" s="18"/>
      <c r="F768" s="12"/>
    </row>
    <row r="769" ht="15.75" customHeight="1">
      <c r="C769" s="18"/>
      <c r="F769" s="12"/>
    </row>
    <row r="770" ht="15.75" customHeight="1">
      <c r="C770" s="18"/>
      <c r="F770" s="12"/>
    </row>
    <row r="771" ht="15.75" customHeight="1">
      <c r="C771" s="18"/>
      <c r="F771" s="12"/>
    </row>
    <row r="772" ht="15.75" customHeight="1">
      <c r="C772" s="18"/>
      <c r="F772" s="12"/>
    </row>
    <row r="773" ht="15.75" customHeight="1">
      <c r="C773" s="18"/>
      <c r="F773" s="12"/>
    </row>
    <row r="774" ht="15.75" customHeight="1">
      <c r="C774" s="18"/>
      <c r="F774" s="12"/>
    </row>
    <row r="775" ht="15.75" customHeight="1">
      <c r="C775" s="18"/>
      <c r="F775" s="12"/>
    </row>
    <row r="776" ht="15.75" customHeight="1">
      <c r="C776" s="18"/>
      <c r="F776" s="12"/>
    </row>
    <row r="777" ht="15.75" customHeight="1">
      <c r="C777" s="18"/>
      <c r="F777" s="12"/>
    </row>
    <row r="778" ht="15.75" customHeight="1">
      <c r="C778" s="18"/>
      <c r="F778" s="12"/>
    </row>
    <row r="779" ht="15.75" customHeight="1">
      <c r="C779" s="18"/>
      <c r="F779" s="12"/>
    </row>
    <row r="780" ht="15.75" customHeight="1">
      <c r="C780" s="18"/>
      <c r="F780" s="12"/>
    </row>
    <row r="781" ht="15.75" customHeight="1">
      <c r="C781" s="18"/>
      <c r="F781" s="12"/>
    </row>
    <row r="782" ht="15.75" customHeight="1">
      <c r="C782" s="18"/>
      <c r="F782" s="12"/>
    </row>
    <row r="783" ht="15.75" customHeight="1">
      <c r="C783" s="18"/>
      <c r="F783" s="12"/>
    </row>
    <row r="784" ht="15.75" customHeight="1">
      <c r="C784" s="18"/>
      <c r="F784" s="12"/>
    </row>
    <row r="785" ht="15.75" customHeight="1">
      <c r="C785" s="18"/>
      <c r="F785" s="12"/>
    </row>
    <row r="786" ht="15.75" customHeight="1">
      <c r="C786" s="18"/>
      <c r="F786" s="12"/>
    </row>
    <row r="787" ht="15.75" customHeight="1">
      <c r="C787" s="18"/>
      <c r="F787" s="12"/>
    </row>
    <row r="788" ht="15.75" customHeight="1">
      <c r="C788" s="18"/>
      <c r="F788" s="12"/>
    </row>
    <row r="789" ht="15.75" customHeight="1">
      <c r="C789" s="18"/>
      <c r="F789" s="12"/>
    </row>
    <row r="790" ht="15.75" customHeight="1">
      <c r="C790" s="18"/>
      <c r="F790" s="12"/>
    </row>
    <row r="791" ht="15.75" customHeight="1">
      <c r="C791" s="18"/>
      <c r="F791" s="12"/>
    </row>
    <row r="792" ht="15.75" customHeight="1">
      <c r="C792" s="18"/>
      <c r="F792" s="12"/>
    </row>
    <row r="793" ht="15.75" customHeight="1">
      <c r="C793" s="18"/>
      <c r="F793" s="12"/>
    </row>
    <row r="794" ht="15.75" customHeight="1">
      <c r="C794" s="18"/>
      <c r="F794" s="12"/>
    </row>
    <row r="795" ht="15.75" customHeight="1">
      <c r="C795" s="18"/>
      <c r="F795" s="12"/>
    </row>
    <row r="796" ht="15.75" customHeight="1">
      <c r="C796" s="18"/>
      <c r="F796" s="12"/>
    </row>
    <row r="797" ht="15.75" customHeight="1">
      <c r="C797" s="18"/>
      <c r="F797" s="12"/>
    </row>
    <row r="798" ht="15.75" customHeight="1">
      <c r="C798" s="18"/>
      <c r="F798" s="12"/>
    </row>
    <row r="799" ht="15.75" customHeight="1">
      <c r="C799" s="18"/>
      <c r="F799" s="12"/>
    </row>
    <row r="800" ht="15.75" customHeight="1">
      <c r="C800" s="18"/>
      <c r="F800" s="12"/>
    </row>
    <row r="801" ht="15.75" customHeight="1">
      <c r="C801" s="18"/>
      <c r="F801" s="12"/>
    </row>
    <row r="802" ht="15.75" customHeight="1">
      <c r="C802" s="18"/>
      <c r="F802" s="12"/>
    </row>
    <row r="803" ht="15.75" customHeight="1">
      <c r="C803" s="18"/>
      <c r="F803" s="12"/>
    </row>
    <row r="804" ht="15.75" customHeight="1">
      <c r="C804" s="18"/>
      <c r="F804" s="12"/>
    </row>
    <row r="805" ht="15.75" customHeight="1">
      <c r="C805" s="18"/>
      <c r="F805" s="12"/>
    </row>
    <row r="806" ht="15.75" customHeight="1">
      <c r="C806" s="18"/>
      <c r="F806" s="12"/>
    </row>
    <row r="807" ht="15.75" customHeight="1">
      <c r="C807" s="18"/>
      <c r="F807" s="12"/>
    </row>
    <row r="808" ht="15.75" customHeight="1">
      <c r="C808" s="18"/>
      <c r="F808" s="12"/>
    </row>
    <row r="809" ht="15.75" customHeight="1">
      <c r="C809" s="18"/>
      <c r="F809" s="12"/>
    </row>
    <row r="810" ht="15.75" customHeight="1">
      <c r="C810" s="18"/>
      <c r="F810" s="12"/>
    </row>
    <row r="811" ht="15.75" customHeight="1">
      <c r="C811" s="18"/>
      <c r="F811" s="12"/>
    </row>
    <row r="812" ht="15.75" customHeight="1">
      <c r="C812" s="18"/>
      <c r="F812" s="12"/>
    </row>
    <row r="813" ht="15.75" customHeight="1">
      <c r="C813" s="18"/>
      <c r="F813" s="12"/>
    </row>
    <row r="814" ht="15.75" customHeight="1">
      <c r="C814" s="18"/>
      <c r="F814" s="12"/>
    </row>
    <row r="815" ht="15.75" customHeight="1">
      <c r="C815" s="18"/>
      <c r="F815" s="12"/>
    </row>
    <row r="816" ht="15.75" customHeight="1">
      <c r="C816" s="18"/>
      <c r="F816" s="12"/>
    </row>
    <row r="817" ht="15.75" customHeight="1">
      <c r="C817" s="18"/>
      <c r="F817" s="12"/>
    </row>
    <row r="818" ht="15.75" customHeight="1">
      <c r="C818" s="18"/>
      <c r="F818" s="12"/>
    </row>
    <row r="819" ht="15.75" customHeight="1">
      <c r="C819" s="18"/>
      <c r="F819" s="12"/>
    </row>
    <row r="820" ht="15.75" customHeight="1">
      <c r="C820" s="18"/>
      <c r="F820" s="12"/>
    </row>
    <row r="821" ht="15.75" customHeight="1">
      <c r="C821" s="18"/>
      <c r="F821" s="12"/>
    </row>
    <row r="822" ht="15.75" customHeight="1">
      <c r="C822" s="18"/>
      <c r="F822" s="12"/>
    </row>
    <row r="823" ht="15.75" customHeight="1">
      <c r="C823" s="18"/>
      <c r="F823" s="12"/>
    </row>
    <row r="824" ht="15.75" customHeight="1">
      <c r="C824" s="18"/>
      <c r="F824" s="12"/>
    </row>
    <row r="825" ht="15.75" customHeight="1">
      <c r="C825" s="18"/>
      <c r="F825" s="12"/>
    </row>
    <row r="826" ht="15.75" customHeight="1">
      <c r="C826" s="18"/>
      <c r="F826" s="12"/>
    </row>
    <row r="827" ht="15.75" customHeight="1">
      <c r="C827" s="18"/>
      <c r="F827" s="12"/>
    </row>
    <row r="828" ht="15.75" customHeight="1">
      <c r="C828" s="18"/>
      <c r="F828" s="12"/>
    </row>
    <row r="829" ht="15.75" customHeight="1">
      <c r="C829" s="18"/>
      <c r="F829" s="12"/>
    </row>
    <row r="830" ht="15.75" customHeight="1">
      <c r="C830" s="18"/>
      <c r="F830" s="12"/>
    </row>
    <row r="831" ht="15.75" customHeight="1">
      <c r="C831" s="18"/>
      <c r="F831" s="12"/>
    </row>
    <row r="832" ht="15.75" customHeight="1">
      <c r="C832" s="18"/>
      <c r="F832" s="12"/>
    </row>
    <row r="833" ht="15.75" customHeight="1">
      <c r="C833" s="18"/>
      <c r="F833" s="12"/>
    </row>
    <row r="834" ht="15.75" customHeight="1">
      <c r="C834" s="18"/>
      <c r="F834" s="12"/>
    </row>
    <row r="835" ht="15.75" customHeight="1">
      <c r="C835" s="18"/>
      <c r="F835" s="12"/>
    </row>
    <row r="836" ht="15.75" customHeight="1">
      <c r="C836" s="18"/>
      <c r="F836" s="12"/>
    </row>
    <row r="837" ht="15.75" customHeight="1">
      <c r="C837" s="18"/>
      <c r="F837" s="12"/>
    </row>
    <row r="838" ht="15.75" customHeight="1">
      <c r="C838" s="18"/>
      <c r="F838" s="12"/>
    </row>
    <row r="839" ht="15.75" customHeight="1">
      <c r="C839" s="18"/>
      <c r="F839" s="12"/>
    </row>
    <row r="840" ht="15.75" customHeight="1">
      <c r="C840" s="18"/>
      <c r="F840" s="12"/>
    </row>
    <row r="841" ht="15.75" customHeight="1">
      <c r="C841" s="18"/>
      <c r="F841" s="12"/>
    </row>
    <row r="842" ht="15.75" customHeight="1">
      <c r="C842" s="18"/>
      <c r="F842" s="12"/>
    </row>
    <row r="843" ht="15.75" customHeight="1">
      <c r="C843" s="18"/>
      <c r="F843" s="12"/>
    </row>
    <row r="844" ht="15.75" customHeight="1">
      <c r="C844" s="18"/>
      <c r="F844" s="12"/>
    </row>
    <row r="845" ht="15.75" customHeight="1">
      <c r="C845" s="18"/>
      <c r="F845" s="12"/>
    </row>
    <row r="846" ht="15.75" customHeight="1">
      <c r="C846" s="18"/>
      <c r="F846" s="12"/>
    </row>
    <row r="847" ht="15.75" customHeight="1">
      <c r="C847" s="18"/>
      <c r="F847" s="12"/>
    </row>
    <row r="848" ht="15.75" customHeight="1">
      <c r="C848" s="18"/>
      <c r="F848" s="12"/>
    </row>
    <row r="849" ht="15.75" customHeight="1">
      <c r="C849" s="18"/>
      <c r="F849" s="12"/>
    </row>
    <row r="850" ht="15.75" customHeight="1">
      <c r="C850" s="18"/>
      <c r="F850" s="12"/>
    </row>
    <row r="851" ht="15.75" customHeight="1">
      <c r="C851" s="18"/>
      <c r="F851" s="12"/>
    </row>
    <row r="852" ht="15.75" customHeight="1">
      <c r="C852" s="18"/>
      <c r="F852" s="12"/>
    </row>
    <row r="853" ht="15.75" customHeight="1">
      <c r="C853" s="18"/>
      <c r="F853" s="12"/>
    </row>
    <row r="854" ht="15.75" customHeight="1">
      <c r="C854" s="18"/>
      <c r="F854" s="12"/>
    </row>
    <row r="855" ht="15.75" customHeight="1">
      <c r="C855" s="18"/>
      <c r="F855" s="12"/>
    </row>
    <row r="856" ht="15.75" customHeight="1">
      <c r="C856" s="18"/>
      <c r="F856" s="12"/>
    </row>
    <row r="857" ht="15.75" customHeight="1">
      <c r="C857" s="18"/>
      <c r="F857" s="12"/>
    </row>
    <row r="858" ht="15.75" customHeight="1">
      <c r="C858" s="18"/>
      <c r="F858" s="12"/>
    </row>
    <row r="859" ht="15.75" customHeight="1">
      <c r="C859" s="18"/>
      <c r="F859" s="12"/>
    </row>
    <row r="860" ht="15.75" customHeight="1">
      <c r="C860" s="18"/>
      <c r="F860" s="12"/>
    </row>
    <row r="861" ht="15.75" customHeight="1">
      <c r="C861" s="18"/>
      <c r="F861" s="12"/>
    </row>
    <row r="862" ht="15.75" customHeight="1">
      <c r="C862" s="18"/>
      <c r="F862" s="12"/>
    </row>
    <row r="863" ht="15.75" customHeight="1">
      <c r="C863" s="18"/>
      <c r="F863" s="12"/>
    </row>
    <row r="864" ht="15.75" customHeight="1">
      <c r="C864" s="18"/>
      <c r="F864" s="12"/>
    </row>
    <row r="865" ht="15.75" customHeight="1">
      <c r="C865" s="18"/>
      <c r="F865" s="12"/>
    </row>
    <row r="866" ht="15.75" customHeight="1">
      <c r="C866" s="18"/>
      <c r="F866" s="12"/>
    </row>
    <row r="867" ht="15.75" customHeight="1">
      <c r="C867" s="18"/>
      <c r="F867" s="12"/>
    </row>
    <row r="868" ht="15.75" customHeight="1">
      <c r="C868" s="18"/>
      <c r="F868" s="12"/>
    </row>
    <row r="869" ht="15.75" customHeight="1">
      <c r="C869" s="18"/>
      <c r="F869" s="12"/>
    </row>
    <row r="870" ht="15.75" customHeight="1">
      <c r="C870" s="18"/>
      <c r="F870" s="12"/>
    </row>
    <row r="871" ht="15.75" customHeight="1">
      <c r="C871" s="18"/>
      <c r="F871" s="12"/>
    </row>
    <row r="872" ht="15.75" customHeight="1">
      <c r="C872" s="18"/>
      <c r="F872" s="12"/>
    </row>
    <row r="873" ht="15.75" customHeight="1">
      <c r="C873" s="18"/>
      <c r="F873" s="12"/>
    </row>
    <row r="874" ht="15.75" customHeight="1">
      <c r="C874" s="18"/>
      <c r="F874" s="12"/>
    </row>
    <row r="875" ht="15.75" customHeight="1">
      <c r="C875" s="18"/>
      <c r="F875" s="12"/>
    </row>
    <row r="876" ht="15.75" customHeight="1">
      <c r="C876" s="18"/>
      <c r="F876" s="12"/>
    </row>
    <row r="877" ht="15.75" customHeight="1">
      <c r="C877" s="18"/>
      <c r="F877" s="12"/>
    </row>
    <row r="878" ht="15.75" customHeight="1">
      <c r="C878" s="18"/>
      <c r="F878" s="12"/>
    </row>
    <row r="879" ht="15.75" customHeight="1">
      <c r="C879" s="18"/>
      <c r="F879" s="12"/>
    </row>
    <row r="880" ht="15.75" customHeight="1">
      <c r="C880" s="18"/>
      <c r="F880" s="12"/>
    </row>
    <row r="881" ht="15.75" customHeight="1">
      <c r="C881" s="18"/>
      <c r="F881" s="12"/>
    </row>
    <row r="882" ht="15.75" customHeight="1">
      <c r="C882" s="18"/>
      <c r="F882" s="12"/>
    </row>
    <row r="883" ht="15.75" customHeight="1">
      <c r="C883" s="18"/>
      <c r="F883" s="12"/>
    </row>
    <row r="884" ht="15.75" customHeight="1">
      <c r="C884" s="18"/>
      <c r="F884" s="12"/>
    </row>
    <row r="885" ht="15.75" customHeight="1">
      <c r="C885" s="18"/>
      <c r="F885" s="12"/>
    </row>
    <row r="886" ht="15.75" customHeight="1">
      <c r="C886" s="18"/>
      <c r="F886" s="12"/>
    </row>
    <row r="887" ht="15.75" customHeight="1">
      <c r="C887" s="18"/>
      <c r="F887" s="12"/>
    </row>
    <row r="888" ht="15.75" customHeight="1">
      <c r="C888" s="18"/>
      <c r="F888" s="12"/>
    </row>
    <row r="889" ht="15.75" customHeight="1">
      <c r="C889" s="18"/>
      <c r="F889" s="12"/>
    </row>
    <row r="890" ht="15.75" customHeight="1">
      <c r="C890" s="18"/>
      <c r="F890" s="12"/>
    </row>
    <row r="891" ht="15.75" customHeight="1">
      <c r="C891" s="18"/>
      <c r="F891" s="12"/>
    </row>
    <row r="892" ht="15.75" customHeight="1">
      <c r="C892" s="18"/>
      <c r="F892" s="12"/>
    </row>
    <row r="893" ht="15.75" customHeight="1">
      <c r="C893" s="18"/>
      <c r="F893" s="12"/>
    </row>
    <row r="894" ht="15.75" customHeight="1">
      <c r="C894" s="18"/>
      <c r="F894" s="12"/>
    </row>
    <row r="895" ht="15.75" customHeight="1">
      <c r="C895" s="18"/>
      <c r="F895" s="12"/>
    </row>
    <row r="896" ht="15.75" customHeight="1">
      <c r="C896" s="18"/>
      <c r="F896" s="12"/>
    </row>
    <row r="897" ht="15.75" customHeight="1">
      <c r="C897" s="18"/>
      <c r="F897" s="12"/>
    </row>
    <row r="898" ht="15.75" customHeight="1">
      <c r="C898" s="18"/>
      <c r="F898" s="12"/>
    </row>
    <row r="899" ht="15.75" customHeight="1">
      <c r="C899" s="18"/>
      <c r="F899" s="12"/>
    </row>
    <row r="900" ht="15.75" customHeight="1">
      <c r="C900" s="18"/>
      <c r="F900" s="12"/>
    </row>
    <row r="901" ht="15.75" customHeight="1">
      <c r="C901" s="18"/>
      <c r="F901" s="12"/>
    </row>
    <row r="902" ht="15.75" customHeight="1">
      <c r="C902" s="18"/>
      <c r="F902" s="12"/>
    </row>
    <row r="903" ht="15.75" customHeight="1">
      <c r="C903" s="18"/>
      <c r="F903" s="12"/>
    </row>
    <row r="904" ht="15.75" customHeight="1">
      <c r="C904" s="18"/>
      <c r="F904" s="12"/>
    </row>
    <row r="905" ht="15.75" customHeight="1">
      <c r="C905" s="18"/>
      <c r="F905" s="12"/>
    </row>
    <row r="906" ht="15.75" customHeight="1">
      <c r="C906" s="18"/>
      <c r="F906" s="12"/>
    </row>
    <row r="907" ht="15.75" customHeight="1">
      <c r="C907" s="18"/>
      <c r="F907" s="12"/>
    </row>
    <row r="908" ht="15.75" customHeight="1">
      <c r="C908" s="18"/>
      <c r="F908" s="12"/>
    </row>
    <row r="909" ht="15.75" customHeight="1">
      <c r="C909" s="18"/>
      <c r="F909" s="12"/>
    </row>
    <row r="910" ht="15.75" customHeight="1">
      <c r="C910" s="18"/>
      <c r="F910" s="12"/>
    </row>
    <row r="911" ht="15.75" customHeight="1">
      <c r="C911" s="18"/>
      <c r="F911" s="12"/>
    </row>
    <row r="912" ht="15.75" customHeight="1">
      <c r="C912" s="18"/>
      <c r="F912" s="12"/>
    </row>
    <row r="913" ht="15.75" customHeight="1">
      <c r="C913" s="18"/>
      <c r="F913" s="12"/>
    </row>
    <row r="914" ht="15.75" customHeight="1">
      <c r="C914" s="18"/>
      <c r="F914" s="12"/>
    </row>
    <row r="915" ht="15.75" customHeight="1">
      <c r="C915" s="18"/>
      <c r="F915" s="12"/>
    </row>
    <row r="916" ht="15.75" customHeight="1">
      <c r="C916" s="18"/>
      <c r="F916" s="12"/>
    </row>
    <row r="917" ht="15.75" customHeight="1">
      <c r="C917" s="18"/>
      <c r="F917" s="12"/>
    </row>
    <row r="918" ht="15.75" customHeight="1">
      <c r="C918" s="18"/>
      <c r="F918" s="12"/>
    </row>
    <row r="919" ht="15.75" customHeight="1">
      <c r="C919" s="18"/>
      <c r="F919" s="12"/>
    </row>
    <row r="920" ht="15.75" customHeight="1">
      <c r="C920" s="18"/>
      <c r="F920" s="12"/>
    </row>
    <row r="921" ht="15.75" customHeight="1">
      <c r="C921" s="18"/>
      <c r="F921" s="12"/>
    </row>
    <row r="922" ht="15.75" customHeight="1">
      <c r="C922" s="18"/>
      <c r="F922" s="12"/>
    </row>
    <row r="923" ht="15.75" customHeight="1">
      <c r="C923" s="18"/>
      <c r="F923" s="12"/>
    </row>
    <row r="924" ht="15.75" customHeight="1">
      <c r="C924" s="18"/>
      <c r="F924" s="12"/>
    </row>
    <row r="925" ht="15.75" customHeight="1">
      <c r="C925" s="18"/>
      <c r="F925" s="12"/>
    </row>
    <row r="926" ht="15.75" customHeight="1">
      <c r="C926" s="18"/>
      <c r="F926" s="12"/>
    </row>
    <row r="927" ht="15.75" customHeight="1">
      <c r="C927" s="18"/>
      <c r="F927" s="12"/>
    </row>
    <row r="928" ht="15.75" customHeight="1">
      <c r="C928" s="18"/>
      <c r="F928" s="12"/>
    </row>
    <row r="929" ht="15.75" customHeight="1">
      <c r="C929" s="18"/>
      <c r="F929" s="12"/>
    </row>
    <row r="930" ht="15.75" customHeight="1">
      <c r="C930" s="18"/>
      <c r="F930" s="12"/>
    </row>
    <row r="931" ht="15.75" customHeight="1">
      <c r="C931" s="18"/>
      <c r="F931" s="12"/>
    </row>
    <row r="932" ht="15.75" customHeight="1">
      <c r="C932" s="18"/>
      <c r="F932" s="12"/>
    </row>
    <row r="933" ht="15.75" customHeight="1">
      <c r="C933" s="18"/>
      <c r="F933" s="12"/>
    </row>
    <row r="934" ht="15.75" customHeight="1">
      <c r="C934" s="18"/>
      <c r="F934" s="12"/>
    </row>
    <row r="935" ht="15.75" customHeight="1">
      <c r="C935" s="18"/>
      <c r="F935" s="12"/>
    </row>
    <row r="936" ht="15.75" customHeight="1">
      <c r="C936" s="18"/>
      <c r="F936" s="12"/>
    </row>
    <row r="937" ht="15.75" customHeight="1">
      <c r="C937" s="18"/>
      <c r="F937" s="12"/>
    </row>
    <row r="938" ht="15.75" customHeight="1">
      <c r="C938" s="18"/>
      <c r="F938" s="12"/>
    </row>
    <row r="939" ht="15.75" customHeight="1">
      <c r="C939" s="18"/>
      <c r="F939" s="12"/>
    </row>
    <row r="940" ht="15.75" customHeight="1">
      <c r="C940" s="18"/>
      <c r="F940" s="12"/>
    </row>
    <row r="941" ht="15.75" customHeight="1">
      <c r="C941" s="18"/>
      <c r="F941" s="12"/>
    </row>
    <row r="942" ht="15.75" customHeight="1">
      <c r="C942" s="18"/>
      <c r="F942" s="12"/>
    </row>
    <row r="943" ht="15.75" customHeight="1">
      <c r="C943" s="18"/>
      <c r="F943" s="12"/>
    </row>
    <row r="944" ht="15.75" customHeight="1">
      <c r="C944" s="18"/>
      <c r="F944" s="12"/>
    </row>
    <row r="945" ht="15.75" customHeight="1">
      <c r="C945" s="18"/>
      <c r="F945" s="12"/>
    </row>
    <row r="946" ht="15.75" customHeight="1">
      <c r="C946" s="18"/>
      <c r="F946" s="12"/>
    </row>
    <row r="947" ht="15.75" customHeight="1">
      <c r="C947" s="18"/>
      <c r="F947" s="12"/>
    </row>
    <row r="948" ht="15.75" customHeight="1">
      <c r="C948" s="18"/>
      <c r="F948" s="12"/>
    </row>
    <row r="949" ht="15.75" customHeight="1">
      <c r="C949" s="18"/>
      <c r="F949" s="12"/>
    </row>
    <row r="950" ht="15.75" customHeight="1">
      <c r="C950" s="18"/>
      <c r="F950" s="12"/>
    </row>
    <row r="951" ht="15.75" customHeight="1">
      <c r="C951" s="18"/>
      <c r="F951" s="12"/>
    </row>
    <row r="952" ht="15.75" customHeight="1">
      <c r="C952" s="18"/>
      <c r="F952" s="12"/>
    </row>
    <row r="953" ht="15.75" customHeight="1">
      <c r="C953" s="18"/>
      <c r="F953" s="12"/>
    </row>
    <row r="954" ht="15.75" customHeight="1">
      <c r="C954" s="18"/>
      <c r="F954" s="12"/>
    </row>
    <row r="955" ht="15.75" customHeight="1">
      <c r="C955" s="18"/>
      <c r="F955" s="12"/>
    </row>
    <row r="956" ht="15.75" customHeight="1">
      <c r="C956" s="18"/>
      <c r="F956" s="12"/>
    </row>
    <row r="957" ht="15.75" customHeight="1">
      <c r="C957" s="18"/>
      <c r="F957" s="12"/>
    </row>
    <row r="958" ht="15.75" customHeight="1">
      <c r="C958" s="18"/>
      <c r="F958" s="12"/>
    </row>
    <row r="959" ht="15.75" customHeight="1">
      <c r="C959" s="18"/>
      <c r="F959" s="12"/>
    </row>
    <row r="960" ht="15.75" customHeight="1">
      <c r="C960" s="18"/>
      <c r="F960" s="12"/>
    </row>
    <row r="961" ht="15.75" customHeight="1">
      <c r="C961" s="18"/>
      <c r="F961" s="12"/>
    </row>
    <row r="962" ht="15.75" customHeight="1">
      <c r="C962" s="18"/>
      <c r="F962" s="12"/>
    </row>
    <row r="963" ht="15.75" customHeight="1">
      <c r="C963" s="18"/>
      <c r="F963" s="12"/>
    </row>
    <row r="964" ht="15.75" customHeight="1">
      <c r="C964" s="18"/>
      <c r="F964" s="12"/>
    </row>
    <row r="965" ht="15.75" customHeight="1">
      <c r="C965" s="18"/>
      <c r="F965" s="12"/>
    </row>
    <row r="966" ht="15.75" customHeight="1">
      <c r="C966" s="18"/>
      <c r="F966" s="12"/>
    </row>
    <row r="967" ht="15.75" customHeight="1">
      <c r="C967" s="18"/>
      <c r="F967" s="12"/>
    </row>
    <row r="968" ht="15.75" customHeight="1">
      <c r="C968" s="18"/>
      <c r="F968" s="12"/>
    </row>
    <row r="969" ht="15.75" customHeight="1">
      <c r="C969" s="18"/>
      <c r="F969" s="12"/>
    </row>
    <row r="970" ht="15.75" customHeight="1">
      <c r="C970" s="18"/>
      <c r="F970" s="12"/>
    </row>
    <row r="971" ht="15.75" customHeight="1">
      <c r="C971" s="18"/>
      <c r="F971" s="12"/>
    </row>
    <row r="972" ht="15.75" customHeight="1">
      <c r="C972" s="18"/>
      <c r="F972" s="12"/>
    </row>
    <row r="973" ht="15.75" customHeight="1">
      <c r="C973" s="18"/>
      <c r="F973" s="12"/>
    </row>
    <row r="974" ht="15.75" customHeight="1">
      <c r="C974" s="18"/>
      <c r="F974" s="12"/>
    </row>
    <row r="975" ht="15.75" customHeight="1">
      <c r="C975" s="18"/>
      <c r="F975" s="12"/>
    </row>
    <row r="976" ht="15.75" customHeight="1">
      <c r="C976" s="18"/>
      <c r="F976" s="12"/>
    </row>
    <row r="977" ht="15.75" customHeight="1">
      <c r="C977" s="18"/>
      <c r="F977" s="12"/>
    </row>
    <row r="978" ht="15.75" customHeight="1">
      <c r="C978" s="18"/>
      <c r="F978" s="12"/>
    </row>
    <row r="979" ht="15.75" customHeight="1">
      <c r="C979" s="18"/>
      <c r="F979" s="12"/>
    </row>
    <row r="980" ht="15.75" customHeight="1">
      <c r="C980" s="18"/>
      <c r="F980" s="12"/>
    </row>
    <row r="981" ht="15.75" customHeight="1">
      <c r="C981" s="18"/>
      <c r="F981" s="12"/>
    </row>
    <row r="982" ht="15.75" customHeight="1">
      <c r="C982" s="18"/>
      <c r="F982" s="12"/>
    </row>
    <row r="983" ht="15.75" customHeight="1">
      <c r="C983" s="18"/>
      <c r="F983" s="12"/>
    </row>
    <row r="984" ht="15.75" customHeight="1">
      <c r="C984" s="18"/>
      <c r="F984" s="12"/>
    </row>
    <row r="985" ht="15.75" customHeight="1">
      <c r="C985" s="18"/>
      <c r="F985" s="12"/>
    </row>
    <row r="986" ht="15.75" customHeight="1">
      <c r="C986" s="18"/>
      <c r="F986" s="12"/>
    </row>
    <row r="987" ht="15.75" customHeight="1">
      <c r="C987" s="18"/>
      <c r="F987" s="12"/>
    </row>
    <row r="988" ht="15.75" customHeight="1">
      <c r="C988" s="18"/>
      <c r="F988" s="12"/>
    </row>
    <row r="989" ht="15.75" customHeight="1">
      <c r="C989" s="18"/>
      <c r="F989" s="12"/>
    </row>
    <row r="990" ht="15.75" customHeight="1">
      <c r="C990" s="18"/>
      <c r="F990" s="12"/>
    </row>
    <row r="991" ht="15.75" customHeight="1">
      <c r="C991" s="18"/>
      <c r="F991" s="12"/>
    </row>
    <row r="992" ht="15.75" customHeight="1">
      <c r="C992" s="18"/>
      <c r="F992" s="12"/>
    </row>
    <row r="993" ht="15.75" customHeight="1">
      <c r="C993" s="18"/>
      <c r="F993" s="12"/>
    </row>
    <row r="994" ht="15.75" customHeight="1">
      <c r="C994" s="18"/>
      <c r="F994" s="12"/>
    </row>
    <row r="995" ht="15.75" customHeight="1">
      <c r="C995" s="18"/>
      <c r="F995" s="12"/>
    </row>
    <row r="996" ht="15.75" customHeight="1">
      <c r="C996" s="18"/>
      <c r="F996" s="12"/>
    </row>
    <row r="997" ht="15.75" customHeight="1">
      <c r="C997" s="18"/>
      <c r="F997" s="12"/>
    </row>
    <row r="998" ht="15.75" customHeight="1">
      <c r="C998" s="18"/>
      <c r="F998" s="12"/>
    </row>
    <row r="999" ht="15.75" customHeight="1">
      <c r="C999" s="18"/>
      <c r="F999" s="12"/>
    </row>
    <row r="1000" ht="15.75" customHeight="1">
      <c r="C1000" s="18"/>
      <c r="F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2024-11-19T21:26:41Z</dcterms:created>
  <dc:creator>Sarah Halsey</dc:creator>
</cp:coreProperties>
</file>